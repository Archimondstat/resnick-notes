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Unit Plan" sheetId="3" state="visible" r:id="rId3"/>
    <sheet xmlns:r="http://schemas.openxmlformats.org/officeDocument/2006/relationships" name="Exercise Map" sheetId="4" state="visible" r:id="rId4"/>
    <sheet xmlns:r="http://schemas.openxmlformats.org/officeDocument/2006/relationships" name="Daily Log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-dd hh:mm"/>
  </numFmts>
  <fonts count="9">
    <font>
      <name val="Calibri"/>
      <family val="2"/>
      <color theme="1"/>
      <sz val="11"/>
      <scheme val="minor"/>
    </font>
    <font>
      <b val="1"/>
      <sz val="15"/>
    </font>
    <font>
      <color rgb="000000FF"/>
    </font>
    <font>
      <color rgb="00666666"/>
    </font>
    <font>
      <b val="1"/>
      <color rgb="00FFFFFF"/>
      <sz val="11"/>
    </font>
    <font>
      <color rgb="00008000"/>
    </font>
    <font>
      <i val="1"/>
      <color rgb="007030A0"/>
    </font>
    <font>
      <color rgb="000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0F766E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9F9F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top style="medium">
        <color rgb="001F4E78"/>
      </top>
      <bottom style="thin">
        <color rgb="00D0D0D0"/>
      </bottom>
    </border>
    <border>
      <bottom style="thin">
        <color rgb="00D0D0D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center" vertical="center"/>
    </xf>
    <xf numFmtId="49" fontId="7" fillId="5" borderId="0" applyAlignment="1" pivotButton="0" quotePrefix="0" xfId="0">
      <alignment horizontal="center" vertical="center"/>
    </xf>
    <xf numFmtId="165" fontId="7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 wrapText="1"/>
    </xf>
    <xf numFmtId="0" fontId="2" fillId="2" borderId="0" pivotButton="0" quotePrefix="0" xfId="0"/>
    <xf numFmtId="164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5" fillId="5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center" vertical="center"/>
    </xf>
    <xf numFmtId="1" fontId="7" fillId="5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/>
    </xf>
    <xf numFmtId="166" fontId="0" fillId="8" borderId="2" applyAlignment="1" pivotButton="0" quotePrefix="0" xfId="0">
      <alignment horizontal="center" vertical="center"/>
    </xf>
    <xf numFmtId="1" fontId="7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1" fontId="2" fillId="2" borderId="2" applyAlignment="1" pivotButton="0" quotePrefix="0" xfId="0">
      <alignment horizontal="center" vertical="center"/>
    </xf>
    <xf numFmtId="165" fontId="7" fillId="9" borderId="0" applyAlignment="1" pivotButton="0" quotePrefix="0" xfId="0">
      <alignment horizontal="center" vertical="center"/>
    </xf>
    <xf numFmtId="166" fontId="0" fillId="2" borderId="2" applyAlignment="1" pivotButton="0" quotePrefix="0" xfId="0">
      <alignment horizontal="center" vertical="center"/>
    </xf>
    <xf numFmtId="166" fontId="0" fillId="8" borderId="2" applyAlignment="1" pivotButton="0" quotePrefix="0" xfId="0">
      <alignment horizontal="center" vertical="center"/>
    </xf>
    <xf numFmtId="49" fontId="5" fillId="5" borderId="0" pivotButton="0" quotePrefix="0" xfId="0"/>
  </cellXfs>
  <cellStyles count="1">
    <cellStyle name="Normal" xfId="0"/>
  </cellStyles>
  <dxfs count="5">
    <dxf>
      <fill>
        <patternFill>
          <bgColor rgb="00E2F0D9"/>
        </patternFill>
      </fill>
    </dxf>
    <dxf>
      <fill>
        <patternFill>
          <bgColor rgb="00DDEBF7"/>
        </patternFill>
      </fill>
    </dxf>
    <dxf>
      <fill>
        <patternFill>
          <bgColor rgb="00FFF2CC"/>
        </patternFill>
      </fill>
    </dxf>
    <dxf>
      <fill>
        <patternFill>
          <bgColor rgb="00FCE4D6"/>
        </patternFill>
      </fill>
    </dxf>
    <dxf>
      <fill>
        <patternFill>
          <bgColor rgb="00F3F3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Chapter 6 source file uploaded by user: /mnt/data/chap6.pdf</t>
      </text>
    </comment>
    <comment ref="B3" authorId="0" shapeId="0">
      <text>
        <t>可选：如果你想用 Suggested Day 自动生成建议日期，就在这里填本章开始日期。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Built from the user's Chapter 6 PDF and the agreed study protocol. Source URL for Chapter 5 notes provided by user: https://archimondstat.github.io/resnick-notes/chap-5-integration-and-expectation.html</t>
      </text>
    </comment>
  </commentList>
</comments>
</file>

<file path=xl/tables/table1.xml><?xml version="1.0" encoding="utf-8"?>
<table xmlns="http://schemas.openxmlformats.org/spreadsheetml/2006/main" id="1" name="UnitPlanTable" displayName="UnitPlanTable" ref="A4:V28" headerRowCount="1">
  <autoFilter ref="A4:V28"/>
  <tableColumns count="22">
    <tableColumn id="1" name="Unit ID"/>
    <tableColumn id="2" name="Suggested Seq"/>
    <tableColumn id="3" name="Type"/>
    <tableColumn id="4" name="Chapter Part"/>
    <tableColumn id="5" name="Topic / Task"/>
    <tableColumn id="6" name="Goal"/>
    <tableColumn id="7" name="Suggested Day"/>
    <tableColumn id="8" name="Suggested Date"/>
    <tableColumn id="9" name="Plan Read (min)"/>
    <tableColumn id="10" name="Plan Ex (min)"/>
    <tableColumn id="11" name="Read Start"/>
    <tableColumn id="12" name="Read End"/>
    <tableColumn id="13" name="Read Min"/>
    <tableColumn id="14" name="Ex Start"/>
    <tableColumn id="15" name="Ex End"/>
    <tableColumn id="16" name="Ex Min"/>
    <tableColumn id="17" name="Status"/>
    <tableColumn id="18" name="C1 Due"/>
    <tableColumn id="19" name="C1 Done?"/>
    <tableColumn id="20" name="Reproduce level"/>
    <tableColumn id="21" name="Notes"/>
    <tableColumn id="22" name="Link/Ref"/>
  </tableColumns>
  <tableStyleInfo name="TableStyleMedium2"/>
</table>
</file>

<file path=xl/tables/table2.xml><?xml version="1.0" encoding="utf-8"?>
<table xmlns="http://schemas.openxmlformats.org/spreadsheetml/2006/main" id="2" name="ExerciseMapTable" displayName="ExerciseMapTable" ref="A3:G15" headerRowCount="1">
  <autoFilter ref="A3:G15"/>
  <tableColumns count="7">
    <tableColumn id="1" name="Unit ID"/>
    <tableColumn id="2" name="Exercises"/>
    <tableColumn id="3" name="Topic Cluster"/>
    <tableColumn id="4" name="Why this set matters"/>
    <tableColumn id="5" name="Priority"/>
    <tableColumn id="6" name="Suggested after"/>
    <tableColumn id="7" name="Done?"/>
  </tableColumns>
  <tableStyleInfo name="TableStyleMedium2"/>
</table>
</file>

<file path=xl/tables/table3.xml><?xml version="1.0" encoding="utf-8"?>
<table xmlns="http://schemas.openxmlformats.org/spreadsheetml/2006/main" id="3" name="DailyLogTable" displayName="DailyLogTable" ref="A4:J39" headerRowCount="1">
  <autoFilter ref="A4:J39"/>
  <tableColumns count="10">
    <tableColumn id="1" name="Date"/>
    <tableColumn id="2" name="Day #"/>
    <tableColumn id="3" name="Units touched"/>
    <tableColumn id="4" name="Read min"/>
    <tableColumn id="5" name="Ex min"/>
    <tableColumn id="6" name="Actual total min"/>
    <tableColumn id="7" name="Big takeaway"/>
    <tableColumn id="8" name="Blocker"/>
    <tableColumn id="9" name="Next action"/>
    <tableColumn id="10" name="Mood / energy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4" customWidth="1" min="4" max="4"/>
  </cols>
  <sheetData>
    <row r="1" ht="24" customHeight="1">
      <c r="A1" s="1" t="inlineStr">
        <is>
          <t>Progress Dashboard</t>
        </is>
      </c>
    </row>
    <row r="2" ht="24" customHeight="1"/>
    <row r="3" ht="24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Metric</t>
        </is>
      </c>
      <c r="D3" s="2" t="inlineStr">
        <is>
          <t>Value</t>
        </is>
      </c>
    </row>
    <row r="4" ht="24" customHeight="1">
      <c r="A4" s="3" t="inlineStr">
        <is>
          <t>Start Date</t>
        </is>
      </c>
      <c r="B4" s="6" t="inlineStr">
        <is>
          <t>see Protocol</t>
        </is>
      </c>
      <c r="C4" s="3" t="inlineStr">
        <is>
          <t>Open C1 Reviews</t>
        </is>
      </c>
      <c r="D4" s="5">
        <f>COUNTIFS('Unit Plan'!R5:R28,"&gt;0",'Unit Plan'!S5:S28,"&lt;&gt;Yes")</f>
        <v/>
      </c>
    </row>
    <row r="5" ht="24" customHeight="1">
      <c r="A5" s="3" t="inlineStr">
        <is>
          <t>Total Units</t>
        </is>
      </c>
      <c r="B5" s="5">
        <f>COUNTA('Unit Plan'!A5:A28)</f>
        <v/>
      </c>
      <c r="C5" s="3" t="inlineStr">
        <is>
          <t>Independent Reproductions</t>
        </is>
      </c>
      <c r="D5" s="5">
        <f>COUNTIF('Unit Plan'!T5:T28,"Independent")</f>
        <v/>
      </c>
    </row>
    <row r="6" ht="24" customHeight="1">
      <c r="A6" s="3" t="inlineStr">
        <is>
          <t>Units Completed</t>
        </is>
      </c>
      <c r="B6" s="5">
        <f>COUNTIF('Unit Plan'!Q5:Q28,"Completed")</f>
        <v/>
      </c>
      <c r="C6" s="3" t="inlineStr">
        <is>
          <t>Avg Read Min</t>
        </is>
      </c>
      <c r="D6" s="5">
        <f>IFERROR(AVERAGE('Unit Plan'!M5:M28),"")</f>
        <v/>
      </c>
    </row>
    <row r="7" ht="24" customHeight="1">
      <c r="A7" s="3" t="inlineStr">
        <is>
          <t>Reading Units Done</t>
        </is>
      </c>
      <c r="B7" s="5">
        <f>COUNTIFS('Unit Plan'!C5:C28,"Reading",'Unit Plan'!L5:L28,"&lt;&gt;")</f>
        <v/>
      </c>
      <c r="C7" s="3" t="inlineStr">
        <is>
          <t>Avg Ex Min</t>
        </is>
      </c>
      <c r="D7" s="5">
        <f>IFERROR(AVERAGE('Unit Plan'!P5:P28),"")</f>
        <v/>
      </c>
    </row>
    <row r="8" ht="24" customHeight="1">
      <c r="A8" s="3" t="inlineStr">
        <is>
          <t>Exercise Units Done</t>
        </is>
      </c>
      <c r="B8" s="5">
        <f>COUNTIFS('Unit Plan'!C5:C28,"Exercise",'Unit Plan'!O5:O28,"&lt;&gt;")</f>
        <v/>
      </c>
      <c r="C8" s="3" t="inlineStr">
        <is>
          <t>Daily Logs Filled</t>
        </is>
      </c>
      <c r="D8" s="5">
        <f>COUNTIF('Daily Log'!A5:A39,"&lt;&gt;")</f>
        <v/>
      </c>
    </row>
    <row r="9" ht="24" customHeight="1">
      <c r="A9" s="3" t="inlineStr">
        <is>
          <t>Summary Units Done</t>
        </is>
      </c>
      <c r="B9" s="5">
        <f>COUNTIFS('Unit Plan'!C5:C28,"Summary",'Unit Plan'!L5:L28,"&lt;&gt;")</f>
        <v/>
      </c>
      <c r="C9" s="3" t="inlineStr">
        <is>
          <t>Current Focus</t>
        </is>
      </c>
      <c r="D9" s="6">
        <f>IF(B6=B5,"All Completed","See Unit Plan")</f>
        <v/>
      </c>
    </row>
    <row r="10" ht="24" customHeight="1">
      <c r="A10" s="3" t="inlineStr">
        <is>
          <t>Completion %</t>
        </is>
      </c>
      <c r="B10" s="44">
        <f>IF(B5=0,"",B6/B5)</f>
        <v/>
      </c>
      <c r="C10" s="3" t="inlineStr">
        <is>
          <t>Last Completed Unit</t>
        </is>
      </c>
      <c r="D10" s="6">
        <f>IF(B6=0,"","See Unit Plan")</f>
        <v/>
      </c>
    </row>
    <row r="11" ht="24" customHeight="1">
      <c r="A11" s="8" t="n"/>
      <c r="B11" s="8" t="n"/>
      <c r="C11" s="8" t="n"/>
      <c r="D11" s="8" t="n"/>
    </row>
    <row r="12" ht="24" customHeight="1">
      <c r="A12" s="8" t="n"/>
      <c r="B12" s="8" t="n"/>
      <c r="C12" s="8" t="n"/>
      <c r="D12" s="8" t="n"/>
    </row>
    <row r="13" ht="24" customHeight="1">
      <c r="A13" s="9" t="inlineStr">
        <is>
          <t>Section Progress</t>
        </is>
      </c>
    </row>
    <row r="14" ht="24" customHeight="1">
      <c r="A14" s="2" t="inlineStr">
        <is>
          <t>Block</t>
        </is>
      </c>
      <c r="B14" s="2" t="inlineStr">
        <is>
          <t>Planned Units</t>
        </is>
      </c>
      <c r="C14" s="2" t="inlineStr">
        <is>
          <t>Completed</t>
        </is>
      </c>
      <c r="D14" s="2" t="inlineStr">
        <is>
          <t>Notes</t>
        </is>
      </c>
    </row>
    <row r="15" ht="24" customHeight="1">
      <c r="A15" s="10" t="inlineStr">
        <is>
          <t>6.1–6.3</t>
        </is>
      </c>
      <c r="B15" s="11">
        <f>COUNTIFS('Unit Plan'!D5:D28,"6.1")+COUNTIFS('Unit Plan'!D5:D28,"6.2")+COUNTIFS('Unit Plan'!D5:D28,"6.3(a)")+COUNTIFS('Unit Plan'!D5:D28,"6.3(b)")+COUNTIFS('Unit Plan'!D5:D28,"6.1–6.3")</f>
        <v/>
      </c>
      <c r="C15" s="11">
        <f>COUNTIFS('Unit Plan'!Q5:Q28,"Completed",'Unit Plan'!D5:D28,"6.1")+COUNTIFS('Unit Plan'!Q5:Q28,"Completed",'Unit Plan'!D5:D28,"6.2")+COUNTIFS('Unit Plan'!Q5:Q28,"Completed",'Unit Plan'!D5:D28,"6.3(a)")+COUNTIFS('Unit Plan'!Q5:Q28,"Completed",'Unit Plan'!D5:D28,"6.3(b)")+COUNTIFS('Unit Plan'!Q5:Q28,"Completed",'Unit Plan'!D5:D28,"6.1–6.3")</f>
        <v/>
      </c>
      <c r="D15" s="12" t="inlineStr">
        <is>
          <t>Ground the convergence relations first</t>
        </is>
      </c>
    </row>
    <row r="16" ht="24" customHeight="1">
      <c r="A16" s="10" t="inlineStr">
        <is>
          <t>6.4–6.6</t>
        </is>
      </c>
      <c r="B16" s="11">
        <f>COUNTIFS('Unit Plan'!D5:D28,"6.4")+COUNTIFS('Unit Plan'!D5:D28,"6.5")+COUNTIFS('Unit Plan'!D5:D28,"6.5.1")+COUNTIFS('Unit Plan'!D5:D28,"6.5.2")+COUNTIFS('Unit Plan'!D5:D28,"6.6 (part 1)")+COUNTIFS('Unit Plan'!D5:D28,"6.6 (part 2)")+COUNTIFS('Unit Plan'!D5:D28,"6.4–6.6")</f>
        <v/>
      </c>
      <c r="C16" s="11">
        <f>COUNTIFS('Unit Plan'!Q5:Q28,"Completed",'Unit Plan'!D5:D28,"6.4")+COUNTIFS('Unit Plan'!Q5:Q28,"Completed",'Unit Plan'!D5:D28,"6.5")+COUNTIFS('Unit Plan'!Q5:Q28,"Completed",'Unit Plan'!D5:D28,"6.5.1")+COUNTIFS('Unit Plan'!Q5:Q28,"Completed",'Unit Plan'!D5:D28,"6.5.2")+COUNTIFS('Unit Plan'!Q5:Q28,"Completed",'Unit Plan'!D5:D28,"6.6 (part 1)")+COUNTIFS('Unit Plan'!Q5:Q28,"Completed",'Unit Plan'!D5:D28,"6.6 (part 2)")+COUNTIFS('Unit Plan'!Q5:Q28,"Completed",'Unit Plan'!D5:D28,"6.4–6.6")</f>
        <v/>
      </c>
      <c r="D16" s="12" t="inlineStr">
        <is>
          <t>Slow down at UI and L_p</t>
        </is>
      </c>
    </row>
    <row r="17" ht="24" customHeight="1">
      <c r="A17" s="10" t="inlineStr">
        <is>
          <t>Exercises</t>
        </is>
      </c>
      <c r="B17" s="11">
        <f>COUNTIF('Unit Plan'!C5:C28,"Exercise")</f>
        <v/>
      </c>
      <c r="C17" s="11">
        <f>COUNTIFS('Unit Plan'!C5:C28,"Exercise",'Unit Plan'!Q5:Q28,"Completed")</f>
        <v/>
      </c>
      <c r="D17" s="12" t="inlineStr">
        <is>
          <t>Use Reproduce level before marking complete</t>
        </is>
      </c>
    </row>
  </sheetData>
  <mergeCells count="2">
    <mergeCell ref="A1:D1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  <col width="3" customWidth="1" min="8" max="8"/>
  </cols>
  <sheetData>
    <row r="1" ht="22" customHeight="1">
      <c r="A1" s="1" t="inlineStr">
        <is>
          <t>Chapter 6 Study Check-In Guide (A Probability Path)</t>
        </is>
      </c>
    </row>
    <row r="2" ht="22" customHeight="1"/>
    <row r="3" ht="22" customHeight="1">
      <c r="A3" s="13" t="inlineStr">
        <is>
          <t>Start Date (edit)</t>
        </is>
      </c>
      <c r="B3" s="14" t="n"/>
      <c r="D3" s="15" t="inlineStr">
        <is>
          <t>Status options</t>
        </is>
      </c>
      <c r="F3" s="15" t="inlineStr">
        <is>
          <t>Reproduce level</t>
        </is>
      </c>
    </row>
    <row r="4" ht="22" customHeight="1">
      <c r="D4" t="inlineStr">
        <is>
          <t>Not Started</t>
        </is>
      </c>
      <c r="F4" t="inlineStr"/>
    </row>
    <row r="5" ht="22" customHeight="1">
      <c r="A5" s="16" t="inlineStr">
        <is>
          <t>Rules</t>
        </is>
      </c>
    </row>
    <row r="6" ht="22" customHeight="1">
      <c r="A6" s="17" t="inlineStr">
        <is>
          <t>1. Track reading and exercises separately: use columns K–M for reading and N–P for exercises.</t>
        </is>
      </c>
    </row>
    <row r="7" ht="22" customHeight="1">
      <c r="A7" s="17" t="inlineStr">
        <is>
          <t>2. Actual start = when you begin the task; Actual end = when you truly finish that stage.</t>
        </is>
      </c>
    </row>
    <row r="8" ht="22" customHeight="1">
      <c r="A8" s="17" t="inlineStr">
        <is>
          <t>3. For exercises, follow the protocol: write My idea first, then compare with the answer, then rewrite until independent.</t>
        </is>
      </c>
    </row>
    <row r="9" ht="22" customHeight="1">
      <c r="A9" s="17" t="inlineStr">
        <is>
          <t>4. C1 review is generated automatically as “exercise actual completion date + 2 days”.</t>
        </is>
      </c>
    </row>
    <row r="10" ht="22" customHeight="1">
      <c r="A10" s="17" t="inlineStr">
        <is>
          <t>5. Daily Log is for daily check-ins; Unit Plan is for tracking Chapter 6 by unit.</t>
        </is>
      </c>
    </row>
    <row r="11" ht="22" customHeight="1">
      <c r="A11" s="17" t="inlineStr">
        <is>
          <t>6. For Summary units, draw a relationship map: a.s. / i.p. / L_p / UI / subsequence principle.</t>
        </is>
      </c>
    </row>
    <row r="12" ht="22" customHeight="1"/>
    <row r="13" ht="22" customHeight="1">
      <c r="A13" s="16" t="inlineStr">
        <is>
          <t>Suggested check-in order</t>
        </is>
      </c>
    </row>
    <row r="14" ht="22" customHeight="1">
      <c r="A14" s="17" t="inlineStr">
        <is>
          <t>First update status and times in Unit Plan, then add your daily reflection in Daily Log.</t>
        </is>
      </c>
    </row>
    <row r="15" ht="22" customHeight="1">
      <c r="A15" s="17" t="inlineStr">
        <is>
          <t>If a problem is not independently reproducible that day, keep Status as Doing Exercises and update Reproduce level to the current stage.</t>
        </is>
      </c>
    </row>
    <row r="16" ht="22" customHeight="1">
      <c r="A16" s="17" t="inlineStr">
        <is>
          <t>A Summary unit is complete when you can explain the core relationship map / counterexample bank in your own words.</t>
        </is>
      </c>
    </row>
  </sheetData>
  <mergeCells count="12">
    <mergeCell ref="A9:H9"/>
    <mergeCell ref="A1:H1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28" customWidth="1" min="5" max="5"/>
    <col width="42" customWidth="1" min="6" max="6"/>
    <col width="12" customWidth="1" min="7" max="7"/>
    <col width="14" customWidth="1" min="8" max="8"/>
    <col width="12" customWidth="1" min="9" max="9"/>
    <col width="12" customWidth="1" min="10" max="10"/>
    <col width="17" customWidth="1" min="11" max="11"/>
    <col width="17" customWidth="1" min="12" max="12"/>
    <col width="10" customWidth="1" min="13" max="13"/>
    <col width="17" customWidth="1" min="14" max="14"/>
    <col width="17" customWidth="1" min="15" max="15"/>
    <col width="10" customWidth="1" min="16" max="16"/>
    <col width="16" customWidth="1" min="17" max="17"/>
    <col width="12" customWidth="1" min="18" max="18"/>
    <col width="10" customWidth="1" min="19" max="19"/>
    <col width="18" customWidth="1" min="20" max="20"/>
    <col width="26" customWidth="1" min="21" max="21"/>
    <col width="18" customWidth="1" min="22" max="22"/>
  </cols>
  <sheetData>
    <row r="1">
      <c r="A1" s="1" t="inlineStr">
        <is>
          <t>Chapter 6 Study Check-in Plan</t>
        </is>
      </c>
    </row>
    <row r="2">
      <c r="A2" s="15" t="inlineStr">
        <is>
          <t>Start Date (linked)</t>
        </is>
      </c>
      <c r="B2" s="47" t="inlineStr">
        <is>
          <t>edit in Protocol</t>
        </is>
      </c>
      <c r="D2" s="15" t="inlineStr">
        <is>
          <t>Protocol</t>
        </is>
      </c>
      <c r="E2" s="19" t="inlineStr">
        <is>
          <t>Read first, then exercises; record actual times separately.</t>
        </is>
      </c>
    </row>
    <row r="4" ht="24" customHeight="1">
      <c r="A4" s="20" t="inlineStr">
        <is>
          <t>Unit ID</t>
        </is>
      </c>
      <c r="B4" s="20" t="inlineStr">
        <is>
          <t>Suggested Seq</t>
        </is>
      </c>
      <c r="C4" s="20" t="inlineStr">
        <is>
          <t>Type</t>
        </is>
      </c>
      <c r="D4" s="20" t="inlineStr">
        <is>
          <t>Chapter Part</t>
        </is>
      </c>
      <c r="E4" s="20" t="inlineStr">
        <is>
          <t>Topic / Task</t>
        </is>
      </c>
      <c r="F4" s="20" t="inlineStr">
        <is>
          <t>Goal</t>
        </is>
      </c>
      <c r="G4" s="20" t="inlineStr">
        <is>
          <t>Suggested Day</t>
        </is>
      </c>
      <c r="H4" s="20" t="inlineStr">
        <is>
          <t>Suggested Date</t>
        </is>
      </c>
      <c r="I4" s="20" t="inlineStr">
        <is>
          <t>Plan Read (min)</t>
        </is>
      </c>
      <c r="J4" s="20" t="inlineStr">
        <is>
          <t>Plan Ex (min)</t>
        </is>
      </c>
      <c r="K4" s="20" t="inlineStr">
        <is>
          <t>Read Start</t>
        </is>
      </c>
      <c r="L4" s="20" t="inlineStr">
        <is>
          <t>Read End</t>
        </is>
      </c>
      <c r="M4" s="20" t="inlineStr">
        <is>
          <t>Read Min</t>
        </is>
      </c>
      <c r="N4" s="20" t="inlineStr">
        <is>
          <t>Ex Start</t>
        </is>
      </c>
      <c r="O4" s="20" t="inlineStr">
        <is>
          <t>Ex End</t>
        </is>
      </c>
      <c r="P4" s="20" t="inlineStr">
        <is>
          <t>Ex Min</t>
        </is>
      </c>
      <c r="Q4" s="20" t="inlineStr">
        <is>
          <t>Status</t>
        </is>
      </c>
      <c r="R4" s="20" t="inlineStr">
        <is>
          <t>C1 Due</t>
        </is>
      </c>
      <c r="S4" s="20" t="inlineStr">
        <is>
          <t>C1 Done?</t>
        </is>
      </c>
      <c r="T4" s="20" t="inlineStr">
        <is>
          <t>Reproduce level</t>
        </is>
      </c>
      <c r="U4" s="20" t="inlineStr">
        <is>
          <t>Notes</t>
        </is>
      </c>
      <c r="V4" s="20" t="inlineStr">
        <is>
          <t>Link/Ref</t>
        </is>
      </c>
    </row>
    <row r="5" ht="24" customHeight="1">
      <c r="A5" s="21" t="inlineStr">
        <is>
          <t>R1</t>
        </is>
      </c>
      <c r="B5" s="21" t="n">
        <v>1</v>
      </c>
      <c r="C5" s="21" t="inlineStr">
        <is>
          <t>Reading</t>
        </is>
      </c>
      <c r="D5" s="21" t="inlineStr">
        <is>
          <t>6.1</t>
        </is>
      </c>
      <c r="E5" s="22" t="inlineStr">
        <is>
          <t>Almost Sure Convergence</t>
        </is>
      </c>
      <c r="F5" s="22" t="inlineStr">
        <is>
          <t>Definitions, exception set, a.s. equality, and limsup/liminf intuition</t>
        </is>
      </c>
      <c r="G5" s="23" t="n">
        <v>1</v>
      </c>
      <c r="H5" s="24">
        <f>IF(Protocol!$B$3="","",Protocol!$B$3+G5-1)</f>
        <v/>
      </c>
      <c r="I5" s="23" t="n">
        <v>60</v>
      </c>
      <c r="J5" s="23" t="n"/>
      <c r="K5" s="45" t="n"/>
      <c r="L5" s="45" t="n"/>
      <c r="M5" s="26">
        <f>IF(AND(K5&lt;&gt;"",L5&lt;&gt;""),(L5-K5)*1440,"")</f>
        <v/>
      </c>
      <c r="N5" s="45" t="n"/>
      <c r="O5" s="45" t="n"/>
      <c r="P5" s="26">
        <f>IF(AND(N5&lt;&gt;"",O5&lt;&gt;""),(O5-N5)*1440,"")</f>
        <v/>
      </c>
      <c r="Q5" s="27" t="inlineStr">
        <is>
          <t>Not Started</t>
        </is>
      </c>
      <c r="R5" s="28">
        <f>IF(O5&lt;&gt;"",INT(O5)+2,"")</f>
        <v/>
      </c>
      <c r="S5" s="27" t="inlineStr">
        <is>
          <t>No</t>
        </is>
      </c>
      <c r="T5" s="27" t="inlineStr"/>
      <c r="U5" s="29" t="inlineStr"/>
      <c r="V5" s="29" t="inlineStr"/>
    </row>
    <row r="6" ht="24" customHeight="1">
      <c r="A6" s="21" t="inlineStr">
        <is>
          <t>R2</t>
        </is>
      </c>
      <c r="B6" s="21" t="n">
        <v>2</v>
      </c>
      <c r="C6" s="21" t="inlineStr">
        <is>
          <t>Reading</t>
        </is>
      </c>
      <c r="D6" s="21" t="inlineStr">
        <is>
          <t>6.2</t>
        </is>
      </c>
      <c r="E6" s="22" t="inlineStr">
        <is>
          <t>Convergence in Probability + 6.2.1</t>
        </is>
      </c>
      <c r="F6" s="22" t="inlineStr">
        <is>
          <t>Match a.s. vs i.p. with weak/strong consistency</t>
        </is>
      </c>
      <c r="G6" s="23" t="n">
        <v>2</v>
      </c>
      <c r="H6" s="24">
        <f>IF(Protocol!$B$3="","",Protocol!$B$3+G6-1)</f>
        <v/>
      </c>
      <c r="I6" s="23" t="n">
        <v>60</v>
      </c>
      <c r="J6" s="23" t="n"/>
      <c r="K6" s="45" t="n"/>
      <c r="L6" s="45" t="n"/>
      <c r="M6" s="26">
        <f>IF(AND(K6&lt;&gt;"",L6&lt;&gt;""),(L6-K6)*1440,"")</f>
        <v/>
      </c>
      <c r="N6" s="45" t="n"/>
      <c r="O6" s="45" t="n"/>
      <c r="P6" s="26">
        <f>IF(AND(N6&lt;&gt;"",O6&lt;&gt;""),(O6-N6)*1440,"")</f>
        <v/>
      </c>
      <c r="Q6" s="27" t="inlineStr">
        <is>
          <t>Not Started</t>
        </is>
      </c>
      <c r="R6" s="28">
        <f>IF(O6&lt;&gt;"",INT(O6)+2,"")</f>
        <v/>
      </c>
      <c r="S6" s="27" t="inlineStr">
        <is>
          <t>No</t>
        </is>
      </c>
      <c r="T6" s="27" t="inlineStr"/>
      <c r="U6" s="29" t="inlineStr"/>
      <c r="V6" s="29" t="inlineStr"/>
    </row>
    <row r="7" ht="24" customHeight="1">
      <c r="A7" s="21" t="inlineStr">
        <is>
          <t>R3</t>
        </is>
      </c>
      <c r="B7" s="21" t="n">
        <v>3</v>
      </c>
      <c r="C7" s="21" t="inlineStr">
        <is>
          <t>Reading</t>
        </is>
      </c>
      <c r="D7" s="21" t="inlineStr">
        <is>
          <t>6.3(a)</t>
        </is>
      </c>
      <c r="E7" s="22" t="inlineStr">
        <is>
          <t>Cauchy in probability</t>
        </is>
      </c>
      <c r="F7" s="22" t="inlineStr">
        <is>
          <t>Internalize the proof skeleton for i.p. convergence = Cauchy in probability</t>
        </is>
      </c>
      <c r="G7" s="23" t="n">
        <v>3</v>
      </c>
      <c r="H7" s="24">
        <f>IF(Protocol!$B$3="","",Protocol!$B$3+G7-1)</f>
        <v/>
      </c>
      <c r="I7" s="23" t="n">
        <v>75</v>
      </c>
      <c r="J7" s="23" t="n"/>
      <c r="K7" s="45" t="n"/>
      <c r="L7" s="45" t="n"/>
      <c r="M7" s="26">
        <f>IF(AND(K7&lt;&gt;"",L7&lt;&gt;""),(L7-K7)*1440,"")</f>
        <v/>
      </c>
      <c r="N7" s="45" t="n"/>
      <c r="O7" s="45" t="n"/>
      <c r="P7" s="26">
        <f>IF(AND(N7&lt;&gt;"",O7&lt;&gt;""),(O7-N7)*1440,"")</f>
        <v/>
      </c>
      <c r="Q7" s="27" t="inlineStr">
        <is>
          <t>Not Started</t>
        </is>
      </c>
      <c r="R7" s="28">
        <f>IF(O7&lt;&gt;"",INT(O7)+2,"")</f>
        <v/>
      </c>
      <c r="S7" s="27" t="inlineStr">
        <is>
          <t>No</t>
        </is>
      </c>
      <c r="T7" s="27" t="inlineStr"/>
      <c r="U7" s="29" t="inlineStr"/>
      <c r="V7" s="29" t="inlineStr"/>
    </row>
    <row r="8" ht="24" customHeight="1">
      <c r="A8" s="21" t="inlineStr">
        <is>
          <t>R4</t>
        </is>
      </c>
      <c r="B8" s="21" t="n">
        <v>4</v>
      </c>
      <c r="C8" s="21" t="inlineStr">
        <is>
          <t>Reading</t>
        </is>
      </c>
      <c r="D8" s="21" t="inlineStr">
        <is>
          <t>6.3(b)</t>
        </is>
      </c>
      <c r="E8" s="22" t="inlineStr">
        <is>
          <t>Subsequence criterion + continuous mapping</t>
        </is>
      </c>
      <c r="F8" s="22" t="inlineStr">
        <is>
          <t>Internalize “every subsequence has an a.s.-convergent subsubsequence”</t>
        </is>
      </c>
      <c r="G8" s="23" t="n">
        <v>4</v>
      </c>
      <c r="H8" s="24">
        <f>IF(Protocol!$B$3="","",Protocol!$B$3+G8-1)</f>
        <v/>
      </c>
      <c r="I8" s="23" t="n">
        <v>75</v>
      </c>
      <c r="J8" s="23" t="n"/>
      <c r="K8" s="45" t="n"/>
      <c r="L8" s="45" t="n"/>
      <c r="M8" s="26">
        <f>IF(AND(K8&lt;&gt;"",L8&lt;&gt;""),(L8-K8)*1440,"")</f>
        <v/>
      </c>
      <c r="N8" s="45" t="n"/>
      <c r="O8" s="45" t="n"/>
      <c r="P8" s="26">
        <f>IF(AND(N8&lt;&gt;"",O8&lt;&gt;""),(O8-N8)*1440,"")</f>
        <v/>
      </c>
      <c r="Q8" s="27" t="inlineStr">
        <is>
          <t>Not Started</t>
        </is>
      </c>
      <c r="R8" s="28">
        <f>IF(O8&lt;&gt;"",INT(O8)+2,"")</f>
        <v/>
      </c>
      <c r="S8" s="27" t="inlineStr">
        <is>
          <t>No</t>
        </is>
      </c>
      <c r="T8" s="27" t="inlineStr"/>
      <c r="U8" s="29" t="inlineStr"/>
      <c r="V8" s="29" t="inlineStr"/>
    </row>
    <row r="9" ht="24" customHeight="1">
      <c r="A9" s="21" t="inlineStr">
        <is>
          <t>E1</t>
        </is>
      </c>
      <c r="B9" s="21" t="n">
        <v>5</v>
      </c>
      <c r="C9" s="21" t="inlineStr">
        <is>
          <t>Exercise</t>
        </is>
      </c>
      <c r="D9" s="21" t="inlineStr">
        <is>
          <t>Ex 1,12</t>
        </is>
      </c>
      <c r="E9" s="22" t="inlineStr">
        <is>
          <t>Core convergence 1</t>
        </is>
      </c>
      <c r="F9" s="22" t="inlineStr">
        <is>
          <t>Foundational problems on definitions and criteria</t>
        </is>
      </c>
      <c r="G9" s="23" t="n">
        <v>5</v>
      </c>
      <c r="H9" s="24">
        <f>IF(Protocol!$B$3="","",Protocol!$B$3+G9-1)</f>
        <v/>
      </c>
      <c r="I9" s="23" t="n"/>
      <c r="J9" s="23" t="n">
        <v>90</v>
      </c>
      <c r="K9" s="45" t="n"/>
      <c r="L9" s="45" t="n"/>
      <c r="M9" s="26">
        <f>IF(AND(K9&lt;&gt;"",L9&lt;&gt;""),(L9-K9)*1440,"")</f>
        <v/>
      </c>
      <c r="N9" s="45" t="n"/>
      <c r="O9" s="45" t="n"/>
      <c r="P9" s="26">
        <f>IF(AND(N9&lt;&gt;"",O9&lt;&gt;""),(O9-N9)*1440,"")</f>
        <v/>
      </c>
      <c r="Q9" s="30" t="inlineStr">
        <is>
          <t>Not Started</t>
        </is>
      </c>
      <c r="R9" s="28">
        <f>IF(O9&lt;&gt;"",INT(O9)+2,"")</f>
        <v/>
      </c>
      <c r="S9" s="27" t="inlineStr">
        <is>
          <t>No</t>
        </is>
      </c>
      <c r="T9" s="30" t="inlineStr"/>
      <c r="U9" s="29" t="inlineStr"/>
      <c r="V9" s="29" t="inlineStr"/>
    </row>
    <row r="10" ht="24" customHeight="1">
      <c r="A10" s="21" t="inlineStr">
        <is>
          <t>E2</t>
        </is>
      </c>
      <c r="B10" s="21" t="n">
        <v>6</v>
      </c>
      <c r="C10" s="21" t="inlineStr">
        <is>
          <t>Exercise</t>
        </is>
      </c>
      <c r="D10" s="21" t="inlineStr">
        <is>
          <t>Ex 17,19,21</t>
        </is>
      </c>
      <c r="E10" s="22" t="inlineStr">
        <is>
          <t>Core convergence 2</t>
        </is>
      </c>
      <c r="F10" s="22" t="inlineStr">
        <is>
          <t>Basic properties: discrete cases, monotonicity, event distance</t>
        </is>
      </c>
      <c r="G10" s="23" t="n">
        <v>6</v>
      </c>
      <c r="H10" s="24">
        <f>IF(Protocol!$B$3="","",Protocol!$B$3+G10-1)</f>
        <v/>
      </c>
      <c r="I10" s="23" t="n"/>
      <c r="J10" s="23" t="n">
        <v>90</v>
      </c>
      <c r="K10" s="45" t="n"/>
      <c r="L10" s="45" t="n"/>
      <c r="M10" s="26">
        <f>IF(AND(K10&lt;&gt;"",L10&lt;&gt;""),(L10-K10)*1440,"")</f>
        <v/>
      </c>
      <c r="N10" s="45" t="n"/>
      <c r="O10" s="45" t="n"/>
      <c r="P10" s="26">
        <f>IF(AND(N10&lt;&gt;"",O10&lt;&gt;""),(O10-N10)*1440,"")</f>
        <v/>
      </c>
      <c r="Q10" s="30" t="inlineStr">
        <is>
          <t>Not Started</t>
        </is>
      </c>
      <c r="R10" s="28">
        <f>IF(O10&lt;&gt;"",INT(O10)+2,"")</f>
        <v/>
      </c>
      <c r="S10" s="27" t="inlineStr">
        <is>
          <t>No</t>
        </is>
      </c>
      <c r="T10" s="30" t="inlineStr"/>
      <c r="U10" s="29" t="inlineStr"/>
      <c r="V10" s="29" t="inlineStr"/>
    </row>
    <row r="11" ht="24" customHeight="1">
      <c r="A11" s="21" t="inlineStr">
        <is>
          <t>E3</t>
        </is>
      </c>
      <c r="B11" s="21" t="n">
        <v>7</v>
      </c>
      <c r="C11" s="21" t="inlineStr">
        <is>
          <t>Exercise</t>
        </is>
      </c>
      <c r="D11" s="21" t="inlineStr">
        <is>
          <t>Ex 24,25</t>
        </is>
      </c>
      <c r="E11" s="22" t="inlineStr">
        <is>
          <t>Subsequence / mapping / metric</t>
        </is>
      </c>
      <c r="F11" s="22" t="inlineStr">
        <is>
          <t>Apply the core ideas of Section 6.3</t>
        </is>
      </c>
      <c r="G11" s="23" t="n">
        <v>7</v>
      </c>
      <c r="H11" s="24">
        <f>IF(Protocol!$B$3="","",Protocol!$B$3+G11-1)</f>
        <v/>
      </c>
      <c r="I11" s="23" t="n"/>
      <c r="J11" s="23" t="n">
        <v>90</v>
      </c>
      <c r="K11" s="45" t="n"/>
      <c r="L11" s="45" t="n"/>
      <c r="M11" s="26">
        <f>IF(AND(K11&lt;&gt;"",L11&lt;&gt;""),(L11-K11)*1440,"")</f>
        <v/>
      </c>
      <c r="N11" s="45" t="n"/>
      <c r="O11" s="45" t="n"/>
      <c r="P11" s="26">
        <f>IF(AND(N11&lt;&gt;"",O11&lt;&gt;""),(O11-N11)*1440,"")</f>
        <v/>
      </c>
      <c r="Q11" s="30" t="inlineStr">
        <is>
          <t>Not Started</t>
        </is>
      </c>
      <c r="R11" s="28">
        <f>IF(O11&lt;&gt;"",INT(O11)+2,"")</f>
        <v/>
      </c>
      <c r="S11" s="27" t="inlineStr">
        <is>
          <t>No</t>
        </is>
      </c>
      <c r="T11" s="30" t="inlineStr"/>
      <c r="U11" s="29" t="inlineStr"/>
      <c r="V11" s="29" t="inlineStr"/>
    </row>
    <row r="12" ht="24" customHeight="1">
      <c r="A12" s="31" t="inlineStr">
        <is>
          <t>S1</t>
        </is>
      </c>
      <c r="B12" s="31" t="n">
        <v>8</v>
      </c>
      <c r="C12" s="31" t="inlineStr">
        <is>
          <t>Summary</t>
        </is>
      </c>
      <c r="D12" s="31" t="inlineStr">
        <is>
          <t>6.1–6.3</t>
        </is>
      </c>
      <c r="E12" s="32" t="inlineStr">
        <is>
          <t>Summary block 1</t>
        </is>
      </c>
      <c r="F12" s="32" t="inlineStr">
        <is>
          <t>Draw the relationship map: a.s. / i.p. / subsequence / continuous mapping</t>
        </is>
      </c>
      <c r="G12" s="33" t="n">
        <v>8</v>
      </c>
      <c r="H12" s="24">
        <f>IF(Protocol!$B$3="","",Protocol!$B$3+G12-1)</f>
        <v/>
      </c>
      <c r="I12" s="33" t="n">
        <v>45</v>
      </c>
      <c r="J12" s="33" t="n"/>
      <c r="K12" s="45" t="n"/>
      <c r="L12" s="45" t="n"/>
      <c r="M12" s="26">
        <f>IF(AND(K12&lt;&gt;"",L12&lt;&gt;""),(L12-K12)*1440,"")</f>
        <v/>
      </c>
      <c r="N12" s="46" t="n"/>
      <c r="O12" s="46" t="n"/>
      <c r="P12" s="35">
        <f>IF(AND(N12&lt;&gt;"",O12&lt;&gt;""),(O12-N12)*1440,"")</f>
        <v/>
      </c>
      <c r="Q12" s="27" t="inlineStr">
        <is>
          <t>Not Started</t>
        </is>
      </c>
      <c r="R12" s="28">
        <f>IF(O12&lt;&gt;"",INT(O12)+2,"")</f>
        <v/>
      </c>
      <c r="S12" s="36" t="inlineStr">
        <is>
          <t>No</t>
        </is>
      </c>
      <c r="T12" s="36" t="inlineStr"/>
      <c r="U12" s="29" t="inlineStr"/>
      <c r="V12" s="29" t="inlineStr"/>
    </row>
    <row r="13" ht="24" customHeight="1">
      <c r="A13" s="21" t="inlineStr">
        <is>
          <t>R5</t>
        </is>
      </c>
      <c r="B13" s="21" t="n">
        <v>9</v>
      </c>
      <c r="C13" s="21" t="inlineStr">
        <is>
          <t>Reading</t>
        </is>
      </c>
      <c r="D13" s="21" t="inlineStr">
        <is>
          <t>6.4</t>
        </is>
      </c>
      <c r="E13" s="22" t="inlineStr">
        <is>
          <t>Quantile Estimation</t>
        </is>
      </c>
      <c r="F13" s="22" t="inlineStr">
        <is>
          <t>Understand why quantile consistency is a natural application</t>
        </is>
      </c>
      <c r="G13" s="23" t="n">
        <v>9</v>
      </c>
      <c r="H13" s="24">
        <f>IF(Protocol!$B$3="","",Protocol!$B$3+G13-1)</f>
        <v/>
      </c>
      <c r="I13" s="23" t="n">
        <v>50</v>
      </c>
      <c r="J13" s="23" t="n"/>
      <c r="K13" s="45" t="n"/>
      <c r="L13" s="45" t="n"/>
      <c r="M13" s="26">
        <f>IF(AND(K13&lt;&gt;"",L13&lt;&gt;""),(L13-K13)*1440,"")</f>
        <v/>
      </c>
      <c r="N13" s="45" t="n"/>
      <c r="O13" s="45" t="n"/>
      <c r="P13" s="26">
        <f>IF(AND(N13&lt;&gt;"",O13&lt;&gt;""),(O13-N13)*1440,"")</f>
        <v/>
      </c>
      <c r="Q13" s="27" t="inlineStr">
        <is>
          <t>Not Started</t>
        </is>
      </c>
      <c r="R13" s="28">
        <f>IF(O13&lt;&gt;"",INT(O13)+2,"")</f>
        <v/>
      </c>
      <c r="S13" s="27" t="inlineStr">
        <is>
          <t>No</t>
        </is>
      </c>
      <c r="T13" s="27" t="inlineStr"/>
      <c r="U13" s="29" t="inlineStr"/>
      <c r="V13" s="29" t="inlineStr"/>
    </row>
    <row r="14" ht="24" customHeight="1">
      <c r="A14" s="21" t="inlineStr">
        <is>
          <t>R6</t>
        </is>
      </c>
      <c r="B14" s="21" t="n">
        <v>10</v>
      </c>
      <c r="C14" s="21" t="inlineStr">
        <is>
          <t>Reading</t>
        </is>
      </c>
      <c r="D14" s="21" t="inlineStr">
        <is>
          <t>6.5</t>
        </is>
      </c>
      <c r="E14" s="22" t="inlineStr">
        <is>
          <t>L_p convergence</t>
        </is>
      </c>
      <c r="F14" s="22" t="inlineStr">
        <is>
          <t>Remember the definition, strength relations, and standard counterexamples</t>
        </is>
      </c>
      <c r="G14" s="23" t="n">
        <v>10</v>
      </c>
      <c r="H14" s="24">
        <f>IF(Protocol!$B$3="","",Protocol!$B$3+G14-1)</f>
        <v/>
      </c>
      <c r="I14" s="23" t="n">
        <v>70</v>
      </c>
      <c r="J14" s="23" t="n"/>
      <c r="K14" s="45" t="n"/>
      <c r="L14" s="45" t="n"/>
      <c r="M14" s="26">
        <f>IF(AND(K14&lt;&gt;"",L14&lt;&gt;""),(L14-K14)*1440,"")</f>
        <v/>
      </c>
      <c r="N14" s="45" t="n"/>
      <c r="O14" s="45" t="n"/>
      <c r="P14" s="26">
        <f>IF(AND(N14&lt;&gt;"",O14&lt;&gt;""),(O14-N14)*1440,"")</f>
        <v/>
      </c>
      <c r="Q14" s="27" t="inlineStr">
        <is>
          <t>Not Started</t>
        </is>
      </c>
      <c r="R14" s="28">
        <f>IF(O14&lt;&gt;"",INT(O14)+2,"")</f>
        <v/>
      </c>
      <c r="S14" s="27" t="inlineStr">
        <is>
          <t>No</t>
        </is>
      </c>
      <c r="T14" s="27" t="inlineStr"/>
      <c r="U14" s="29" t="inlineStr"/>
      <c r="V14" s="29" t="inlineStr"/>
    </row>
    <row r="15" ht="24" customHeight="1">
      <c r="A15" s="21" t="inlineStr">
        <is>
          <t>R7</t>
        </is>
      </c>
      <c r="B15" s="21" t="n">
        <v>11</v>
      </c>
      <c r="C15" s="21" t="inlineStr">
        <is>
          <t>Reading</t>
        </is>
      </c>
      <c r="D15" s="21" t="inlineStr">
        <is>
          <t>6.5.1</t>
        </is>
      </c>
      <c r="E15" s="22" t="inlineStr">
        <is>
          <t>Uniform Integrability</t>
        </is>
      </c>
      <c r="F15" s="22" t="inlineStr">
        <is>
          <t>First aim to use it: why UI is the bridge</t>
        </is>
      </c>
      <c r="G15" s="23" t="n">
        <v>11</v>
      </c>
      <c r="H15" s="24">
        <f>IF(Protocol!$B$3="","",Protocol!$B$3+G15-1)</f>
        <v/>
      </c>
      <c r="I15" s="23" t="n">
        <v>80</v>
      </c>
      <c r="J15" s="23" t="n"/>
      <c r="K15" s="45" t="n"/>
      <c r="L15" s="45" t="n"/>
      <c r="M15" s="26">
        <f>IF(AND(K15&lt;&gt;"",L15&lt;&gt;""),(L15-K15)*1440,"")</f>
        <v/>
      </c>
      <c r="N15" s="45" t="n"/>
      <c r="O15" s="45" t="n"/>
      <c r="P15" s="26">
        <f>IF(AND(N15&lt;&gt;"",O15&lt;&gt;""),(O15-N15)*1440,"")</f>
        <v/>
      </c>
      <c r="Q15" s="27" t="inlineStr">
        <is>
          <t>Not Started</t>
        </is>
      </c>
      <c r="R15" s="28">
        <f>IF(O15&lt;&gt;"",INT(O15)+2,"")</f>
        <v/>
      </c>
      <c r="S15" s="27" t="inlineStr">
        <is>
          <t>No</t>
        </is>
      </c>
      <c r="T15" s="27" t="inlineStr"/>
      <c r="U15" s="29" t="inlineStr"/>
      <c r="V15" s="29" t="inlineStr"/>
    </row>
    <row r="16" ht="24" customHeight="1">
      <c r="A16" s="21" t="inlineStr">
        <is>
          <t>R8</t>
        </is>
      </c>
      <c r="B16" s="21" t="n">
        <v>12</v>
      </c>
      <c r="C16" s="21" t="inlineStr">
        <is>
          <t>Reading</t>
        </is>
      </c>
      <c r="D16" s="21" t="inlineStr">
        <is>
          <t>6.5.2</t>
        </is>
      </c>
      <c r="E16" s="22" t="inlineStr">
        <is>
          <t>Inequalities Review</t>
        </is>
      </c>
      <c r="F16" s="22" t="inlineStr">
        <is>
          <t>How Schwarz / Hölder / Minkowski are used later</t>
        </is>
      </c>
      <c r="G16" s="23" t="n">
        <v>12</v>
      </c>
      <c r="H16" s="24">
        <f>IF(Protocol!$B$3="","",Protocol!$B$3+G16-1)</f>
        <v/>
      </c>
      <c r="I16" s="23" t="n">
        <v>60</v>
      </c>
      <c r="J16" s="23" t="n"/>
      <c r="K16" s="45" t="n"/>
      <c r="L16" s="45" t="n"/>
      <c r="M16" s="26">
        <f>IF(AND(K16&lt;&gt;"",L16&lt;&gt;""),(L16-K16)*1440,"")</f>
        <v/>
      </c>
      <c r="N16" s="45" t="n"/>
      <c r="O16" s="45" t="n"/>
      <c r="P16" s="26">
        <f>IF(AND(N16&lt;&gt;"",O16&lt;&gt;""),(O16-N16)*1440,"")</f>
        <v/>
      </c>
      <c r="Q16" s="27" t="inlineStr">
        <is>
          <t>Not Started</t>
        </is>
      </c>
      <c r="R16" s="28">
        <f>IF(O16&lt;&gt;"",INT(O16)+2,"")</f>
        <v/>
      </c>
      <c r="S16" s="27" t="inlineStr">
        <is>
          <t>No</t>
        </is>
      </c>
      <c r="T16" s="27" t="inlineStr"/>
      <c r="U16" s="29" t="inlineStr"/>
      <c r="V16" s="29" t="inlineStr"/>
    </row>
    <row r="17" ht="24" customHeight="1">
      <c r="A17" s="21" t="inlineStr">
        <is>
          <t>R9</t>
        </is>
      </c>
      <c r="B17" s="21" t="n">
        <v>13</v>
      </c>
      <c r="C17" s="21" t="inlineStr">
        <is>
          <t>Reading</t>
        </is>
      </c>
      <c r="D17" s="21" t="inlineStr">
        <is>
          <t>6.6 (part 1)</t>
        </is>
      </c>
      <c r="E17" s="22" t="inlineStr">
        <is>
          <t>More on L_p convergence I</t>
        </is>
      </c>
      <c r="F17" s="22" t="inlineStr">
        <is>
          <t>First master the L1 version and key lemma</t>
        </is>
      </c>
      <c r="G17" s="23" t="n">
        <v>13</v>
      </c>
      <c r="H17" s="24">
        <f>IF(Protocol!$B$3="","",Protocol!$B$3+G17-1)</f>
        <v/>
      </c>
      <c r="I17" s="23" t="n">
        <v>80</v>
      </c>
      <c r="J17" s="23" t="n"/>
      <c r="K17" s="45" t="n"/>
      <c r="L17" s="45" t="n"/>
      <c r="M17" s="26">
        <f>IF(AND(K17&lt;&gt;"",L17&lt;&gt;""),(L17-K17)*1440,"")</f>
        <v/>
      </c>
      <c r="N17" s="45" t="n"/>
      <c r="O17" s="45" t="n"/>
      <c r="P17" s="26">
        <f>IF(AND(N17&lt;&gt;"",O17&lt;&gt;""),(O17-N17)*1440,"")</f>
        <v/>
      </c>
      <c r="Q17" s="27" t="inlineStr">
        <is>
          <t>Not Started</t>
        </is>
      </c>
      <c r="R17" s="28">
        <f>IF(O17&lt;&gt;"",INT(O17)+2,"")</f>
        <v/>
      </c>
      <c r="S17" s="27" t="inlineStr">
        <is>
          <t>No</t>
        </is>
      </c>
      <c r="T17" s="27" t="inlineStr"/>
      <c r="U17" s="29" t="inlineStr"/>
      <c r="V17" s="29" t="inlineStr"/>
    </row>
    <row r="18" ht="24" customHeight="1">
      <c r="A18" s="21" t="inlineStr">
        <is>
          <t>R10</t>
        </is>
      </c>
      <c r="B18" s="21" t="n">
        <v>14</v>
      </c>
      <c r="C18" s="21" t="inlineStr">
        <is>
          <t>Reading</t>
        </is>
      </c>
      <c r="D18" s="21" t="inlineStr">
        <is>
          <t>6.6 (part 2)</t>
        </is>
      </c>
      <c r="E18" s="22" t="inlineStr">
        <is>
          <t>More on L_p convergence II</t>
        </is>
      </c>
      <c r="F18" s="22" t="inlineStr">
        <is>
          <t>Clarify the equivalences/bridges among Lp-Cauchy and UI + i.p.</t>
        </is>
      </c>
      <c r="G18" s="23" t="n">
        <v>14</v>
      </c>
      <c r="H18" s="24">
        <f>IF(Protocol!$B$3="","",Protocol!$B$3+G18-1)</f>
        <v/>
      </c>
      <c r="I18" s="23" t="n">
        <v>80</v>
      </c>
      <c r="J18" s="23" t="n"/>
      <c r="K18" s="45" t="n"/>
      <c r="L18" s="45" t="n"/>
      <c r="M18" s="26">
        <f>IF(AND(K18&lt;&gt;"",L18&lt;&gt;""),(L18-K18)*1440,"")</f>
        <v/>
      </c>
      <c r="N18" s="45" t="n"/>
      <c r="O18" s="45" t="n"/>
      <c r="P18" s="26">
        <f>IF(AND(N18&lt;&gt;"",O18&lt;&gt;""),(O18-N18)*1440,"")</f>
        <v/>
      </c>
      <c r="Q18" s="27" t="inlineStr">
        <is>
          <t>Not Started</t>
        </is>
      </c>
      <c r="R18" s="28">
        <f>IF(O18&lt;&gt;"",INT(O18)+2,"")</f>
        <v/>
      </c>
      <c r="S18" s="27" t="inlineStr">
        <is>
          <t>No</t>
        </is>
      </c>
      <c r="T18" s="27" t="inlineStr"/>
      <c r="U18" s="29" t="inlineStr"/>
      <c r="V18" s="29" t="inlineStr"/>
    </row>
    <row r="19" ht="24" customHeight="1">
      <c r="A19" s="21" t="inlineStr">
        <is>
          <t>E4</t>
        </is>
      </c>
      <c r="B19" s="21" t="n">
        <v>15</v>
      </c>
      <c r="C19" s="21" t="inlineStr">
        <is>
          <t>Exercise</t>
        </is>
      </c>
      <c r="D19" s="21" t="inlineStr">
        <is>
          <t>Ex 2,4</t>
        </is>
      </c>
      <c r="E19" s="22" t="inlineStr">
        <is>
          <t>Means and second moments</t>
        </is>
      </c>
      <c r="F19" s="22" t="inlineStr">
        <is>
          <t>Connect convergence notions with averaging and L2</t>
        </is>
      </c>
      <c r="G19" s="23" t="n">
        <v>15</v>
      </c>
      <c r="H19" s="24">
        <f>IF(Protocol!$B$3="","",Protocol!$B$3+G19-1)</f>
        <v/>
      </c>
      <c r="I19" s="23" t="n"/>
      <c r="J19" s="23" t="n">
        <v>90</v>
      </c>
      <c r="K19" s="45" t="n"/>
      <c r="L19" s="45" t="n"/>
      <c r="M19" s="26">
        <f>IF(AND(K19&lt;&gt;"",L19&lt;&gt;""),(L19-K19)*1440,"")</f>
        <v/>
      </c>
      <c r="N19" s="45" t="n"/>
      <c r="O19" s="45" t="n"/>
      <c r="P19" s="26">
        <f>IF(AND(N19&lt;&gt;"",O19&lt;&gt;""),(O19-N19)*1440,"")</f>
        <v/>
      </c>
      <c r="Q19" s="30" t="inlineStr">
        <is>
          <t>Not Started</t>
        </is>
      </c>
      <c r="R19" s="28">
        <f>IF(O19&lt;&gt;"",INT(O19)+2,"")</f>
        <v/>
      </c>
      <c r="S19" s="27" t="inlineStr">
        <is>
          <t>No</t>
        </is>
      </c>
      <c r="T19" s="30" t="inlineStr"/>
      <c r="U19" s="29" t="inlineStr"/>
      <c r="V19" s="29" t="inlineStr"/>
    </row>
    <row r="20" ht="24" customHeight="1">
      <c r="A20" s="21" t="inlineStr">
        <is>
          <t>E5</t>
        </is>
      </c>
      <c r="B20" s="21" t="n">
        <v>16</v>
      </c>
      <c r="C20" s="21" t="inlineStr">
        <is>
          <t>Exercise</t>
        </is>
      </c>
      <c r="D20" s="21" t="inlineStr">
        <is>
          <t>Ex 5,6,8</t>
        </is>
      </c>
      <c r="E20" s="22" t="inlineStr">
        <is>
          <t>UI basics</t>
        </is>
      </c>
      <c r="F20" s="22" t="inlineStr">
        <is>
          <t>Start with basic practice: is a family UI?</t>
        </is>
      </c>
      <c r="G20" s="23" t="n">
        <v>16</v>
      </c>
      <c r="H20" s="24">
        <f>IF(Protocol!$B$3="","",Protocol!$B$3+G20-1)</f>
        <v/>
      </c>
      <c r="I20" s="23" t="n"/>
      <c r="J20" s="23" t="n">
        <v>90</v>
      </c>
      <c r="K20" s="45" t="n"/>
      <c r="L20" s="45" t="n"/>
      <c r="M20" s="26">
        <f>IF(AND(K20&lt;&gt;"",L20&lt;&gt;""),(L20-K20)*1440,"")</f>
        <v/>
      </c>
      <c r="N20" s="45" t="n"/>
      <c r="O20" s="45" t="n"/>
      <c r="P20" s="26">
        <f>IF(AND(N20&lt;&gt;"",O20&lt;&gt;""),(O20-N20)*1440,"")</f>
        <v/>
      </c>
      <c r="Q20" s="30" t="inlineStr">
        <is>
          <t>Not Started</t>
        </is>
      </c>
      <c r="R20" s="28">
        <f>IF(O20&lt;&gt;"",INT(O20)+2,"")</f>
        <v/>
      </c>
      <c r="S20" s="27" t="inlineStr">
        <is>
          <t>No</t>
        </is>
      </c>
      <c r="T20" s="30" t="inlineStr"/>
      <c r="U20" s="29" t="inlineStr"/>
      <c r="V20" s="29" t="inlineStr"/>
    </row>
    <row r="21" ht="24" customHeight="1">
      <c r="A21" s="21" t="inlineStr">
        <is>
          <t>E6</t>
        </is>
      </c>
      <c r="B21" s="21" t="n">
        <v>17</v>
      </c>
      <c r="C21" s="21" t="inlineStr">
        <is>
          <t>Exercise</t>
        </is>
      </c>
      <c r="D21" s="21" t="inlineStr">
        <is>
          <t>Ex 3,9,10</t>
        </is>
      </c>
      <c r="E21" s="22" t="inlineStr">
        <is>
          <t>Inequalities + UI tests</t>
        </is>
      </c>
      <c r="F21" s="22" t="inlineStr">
        <is>
          <t>Practice the estimation tools until fluent</t>
        </is>
      </c>
      <c r="G21" s="23" t="n">
        <v>17</v>
      </c>
      <c r="H21" s="24">
        <f>IF(Protocol!$B$3="","",Protocol!$B$3+G21-1)</f>
        <v/>
      </c>
      <c r="I21" s="23" t="n"/>
      <c r="J21" s="23" t="n">
        <v>100</v>
      </c>
      <c r="K21" s="45" t="n"/>
      <c r="L21" s="45" t="n"/>
      <c r="M21" s="26">
        <f>IF(AND(K21&lt;&gt;"",L21&lt;&gt;""),(L21-K21)*1440,"")</f>
        <v/>
      </c>
      <c r="N21" s="45" t="n"/>
      <c r="O21" s="45" t="n"/>
      <c r="P21" s="26">
        <f>IF(AND(N21&lt;&gt;"",O21&lt;&gt;""),(O21-N21)*1440,"")</f>
        <v/>
      </c>
      <c r="Q21" s="30" t="inlineStr">
        <is>
          <t>Not Started</t>
        </is>
      </c>
      <c r="R21" s="28">
        <f>IF(O21&lt;&gt;"",INT(O21)+2,"")</f>
        <v/>
      </c>
      <c r="S21" s="27" t="inlineStr">
        <is>
          <t>No</t>
        </is>
      </c>
      <c r="T21" s="30" t="inlineStr"/>
      <c r="U21" s="29" t="inlineStr"/>
      <c r="V21" s="29" t="inlineStr"/>
    </row>
    <row r="22" ht="24" customHeight="1">
      <c r="A22" s="21" t="inlineStr">
        <is>
          <t>E7</t>
        </is>
      </c>
      <c r="B22" s="21" t="n">
        <v>18</v>
      </c>
      <c r="C22" s="21" t="inlineStr">
        <is>
          <t>Exercise</t>
        </is>
      </c>
      <c r="D22" s="21" t="inlineStr">
        <is>
          <t>Ex 15,16,18</t>
        </is>
      </c>
      <c r="E22" s="22" t="inlineStr">
        <is>
          <t>L_p basics</t>
        </is>
      </c>
      <c r="F22" s="22" t="inlineStr">
        <is>
          <t>See clearly what Lp, averaging, and scaling do and do not imply</t>
        </is>
      </c>
      <c r="G22" s="23" t="n">
        <v>18</v>
      </c>
      <c r="H22" s="24">
        <f>IF(Protocol!$B$3="","",Protocol!$B$3+G22-1)</f>
        <v/>
      </c>
      <c r="I22" s="23" t="n"/>
      <c r="J22" s="23" t="n">
        <v>100</v>
      </c>
      <c r="K22" s="45" t="n"/>
      <c r="L22" s="45" t="n"/>
      <c r="M22" s="26">
        <f>IF(AND(K22&lt;&gt;"",L22&lt;&gt;""),(L22-K22)*1440,"")</f>
        <v/>
      </c>
      <c r="N22" s="45" t="n"/>
      <c r="O22" s="45" t="n"/>
      <c r="P22" s="26">
        <f>IF(AND(N22&lt;&gt;"",O22&lt;&gt;""),(O22-N22)*1440,"")</f>
        <v/>
      </c>
      <c r="Q22" s="30" t="inlineStr">
        <is>
          <t>Not Started</t>
        </is>
      </c>
      <c r="R22" s="28">
        <f>IF(O22&lt;&gt;"",INT(O22)+2,"")</f>
        <v/>
      </c>
      <c r="S22" s="27" t="inlineStr">
        <is>
          <t>No</t>
        </is>
      </c>
      <c r="T22" s="30" t="inlineStr"/>
      <c r="U22" s="29" t="inlineStr"/>
      <c r="V22" s="29" t="inlineStr"/>
    </row>
    <row r="23" ht="24" customHeight="1">
      <c r="A23" s="21" t="inlineStr">
        <is>
          <t>E8</t>
        </is>
      </c>
      <c r="B23" s="21" t="n">
        <v>19</v>
      </c>
      <c r="C23" s="21" t="inlineStr">
        <is>
          <t>Exercise</t>
        </is>
      </c>
      <c r="D23" s="21" t="inlineStr">
        <is>
          <t>Ex 20,22,30</t>
        </is>
      </c>
      <c r="E23" s="22" t="inlineStr">
        <is>
          <t>Moment / tail / probability</t>
        </is>
      </c>
      <c r="F23" s="22" t="inlineStr">
        <is>
          <t>Connect moment control with probability control</t>
        </is>
      </c>
      <c r="G23" s="23" t="n">
        <v>19</v>
      </c>
      <c r="H23" s="24">
        <f>IF(Protocol!$B$3="","",Protocol!$B$3+G23-1)</f>
        <v/>
      </c>
      <c r="I23" s="23" t="n"/>
      <c r="J23" s="23" t="n">
        <v>100</v>
      </c>
      <c r="K23" s="45" t="n"/>
      <c r="L23" s="45" t="n"/>
      <c r="M23" s="26">
        <f>IF(AND(K23&lt;&gt;"",L23&lt;&gt;""),(L23-K23)*1440,"")</f>
        <v/>
      </c>
      <c r="N23" s="45" t="n"/>
      <c r="O23" s="45" t="n"/>
      <c r="P23" s="26">
        <f>IF(AND(N23&lt;&gt;"",O23&lt;&gt;""),(O23-N23)*1440,"")</f>
        <v/>
      </c>
      <c r="Q23" s="30" t="inlineStr">
        <is>
          <t>Not Started</t>
        </is>
      </c>
      <c r="R23" s="28">
        <f>IF(O23&lt;&gt;"",INT(O23)+2,"")</f>
        <v/>
      </c>
      <c r="S23" s="27" t="inlineStr">
        <is>
          <t>No</t>
        </is>
      </c>
      <c r="T23" s="30" t="inlineStr"/>
      <c r="U23" s="29" t="inlineStr"/>
      <c r="V23" s="29" t="inlineStr"/>
    </row>
    <row r="24" ht="24" customHeight="1">
      <c r="A24" s="21" t="inlineStr">
        <is>
          <t>E9</t>
        </is>
      </c>
      <c r="B24" s="21" t="n">
        <v>20</v>
      </c>
      <c r="C24" s="21" t="inlineStr">
        <is>
          <t>Exercise</t>
        </is>
      </c>
      <c r="D24" s="21" t="inlineStr">
        <is>
          <t>Ex 11,13,14</t>
        </is>
      </c>
      <c r="E24" s="22" t="inlineStr">
        <is>
          <t>Maxima / extremes style</t>
        </is>
      </c>
      <c r="F24" s="22" t="inlineStr">
        <is>
          <t>Tail behavior and extreme-value style probability estimates</t>
        </is>
      </c>
      <c r="G24" s="23" t="n">
        <v>20</v>
      </c>
      <c r="H24" s="24">
        <f>IF(Protocol!$B$3="","",Protocol!$B$3+G24-1)</f>
        <v/>
      </c>
      <c r="I24" s="23" t="n"/>
      <c r="J24" s="23" t="n">
        <v>100</v>
      </c>
      <c r="K24" s="45" t="n"/>
      <c r="L24" s="45" t="n"/>
      <c r="M24" s="26">
        <f>IF(AND(K24&lt;&gt;"",L24&lt;&gt;""),(L24-K24)*1440,"")</f>
        <v/>
      </c>
      <c r="N24" s="45" t="n"/>
      <c r="O24" s="45" t="n"/>
      <c r="P24" s="26">
        <f>IF(AND(N24&lt;&gt;"",O24&lt;&gt;""),(O24-N24)*1440,"")</f>
        <v/>
      </c>
      <c r="Q24" s="30" t="inlineStr">
        <is>
          <t>Not Started</t>
        </is>
      </c>
      <c r="R24" s="28">
        <f>IF(O24&lt;&gt;"",INT(O24)+2,"")</f>
        <v/>
      </c>
      <c r="S24" s="27" t="inlineStr">
        <is>
          <t>No</t>
        </is>
      </c>
      <c r="T24" s="30" t="inlineStr"/>
      <c r="U24" s="29" t="inlineStr"/>
      <c r="V24" s="29" t="inlineStr"/>
    </row>
    <row r="25" ht="24" customHeight="1">
      <c r="A25" s="21" t="inlineStr">
        <is>
          <t>E10</t>
        </is>
      </c>
      <c r="B25" s="21" t="n">
        <v>21</v>
      </c>
      <c r="C25" s="21" t="inlineStr">
        <is>
          <t>Exercise</t>
        </is>
      </c>
      <c r="D25" s="21" t="inlineStr">
        <is>
          <t>Ex 26,27,28</t>
        </is>
      </c>
      <c r="E25" s="22" t="inlineStr">
        <is>
          <t>Advanced L_p / UI examples</t>
        </is>
      </c>
      <c r="F25" s="22" t="inlineStr">
        <is>
          <t>Counterexample bank plus structure problems</t>
        </is>
      </c>
      <c r="G25" s="23" t="n">
        <v>21</v>
      </c>
      <c r="H25" s="24">
        <f>IF(Protocol!$B$3="","",Protocol!$B$3+G25-1)</f>
        <v/>
      </c>
      <c r="I25" s="23" t="n"/>
      <c r="J25" s="23" t="n">
        <v>110</v>
      </c>
      <c r="K25" s="45" t="n"/>
      <c r="L25" s="45" t="n"/>
      <c r="M25" s="26">
        <f>IF(AND(K25&lt;&gt;"",L25&lt;&gt;""),(L25-K25)*1440,"")</f>
        <v/>
      </c>
      <c r="N25" s="45" t="n"/>
      <c r="O25" s="45" t="n"/>
      <c r="P25" s="26">
        <f>IF(AND(N25&lt;&gt;"",O25&lt;&gt;""),(O25-N25)*1440,"")</f>
        <v/>
      </c>
      <c r="Q25" s="30" t="inlineStr">
        <is>
          <t>Not Started</t>
        </is>
      </c>
      <c r="R25" s="28">
        <f>IF(O25&lt;&gt;"",INT(O25)+2,"")</f>
        <v/>
      </c>
      <c r="S25" s="27" t="inlineStr">
        <is>
          <t>No</t>
        </is>
      </c>
      <c r="T25" s="30" t="inlineStr"/>
      <c r="U25" s="29" t="inlineStr"/>
      <c r="V25" s="29" t="inlineStr"/>
    </row>
    <row r="26" ht="24" customHeight="1">
      <c r="A26" s="21" t="inlineStr">
        <is>
          <t>E11</t>
        </is>
      </c>
      <c r="B26" s="21" t="n">
        <v>22</v>
      </c>
      <c r="C26" s="21" t="inlineStr">
        <is>
          <t>Exercise</t>
        </is>
      </c>
      <c r="D26" s="21" t="inlineStr">
        <is>
          <t>Ex 23,29,33</t>
        </is>
      </c>
      <c r="E26" s="22" t="inlineStr">
        <is>
          <t>Mixed advanced</t>
        </is>
      </c>
      <c r="F26" s="22" t="inlineStr">
        <is>
          <t>Constructed examples / triangular arrays / mixed tools</t>
        </is>
      </c>
      <c r="G26" s="23" t="n">
        <v>22</v>
      </c>
      <c r="H26" s="24">
        <f>IF(Protocol!$B$3="","",Protocol!$B$3+G26-1)</f>
        <v/>
      </c>
      <c r="I26" s="23" t="n"/>
      <c r="J26" s="23" t="n">
        <v>110</v>
      </c>
      <c r="K26" s="45" t="n"/>
      <c r="L26" s="45" t="n"/>
      <c r="M26" s="26">
        <f>IF(AND(K26&lt;&gt;"",L26&lt;&gt;""),(L26-K26)*1440,"")</f>
        <v/>
      </c>
      <c r="N26" s="45" t="n"/>
      <c r="O26" s="45" t="n"/>
      <c r="P26" s="26">
        <f>IF(AND(N26&lt;&gt;"",O26&lt;&gt;""),(O26-N26)*1440,"")</f>
        <v/>
      </c>
      <c r="Q26" s="30" t="inlineStr">
        <is>
          <t>Not Started</t>
        </is>
      </c>
      <c r="R26" s="28">
        <f>IF(O26&lt;&gt;"",INT(O26)+2,"")</f>
        <v/>
      </c>
      <c r="S26" s="27" t="inlineStr">
        <is>
          <t>No</t>
        </is>
      </c>
      <c r="T26" s="30" t="inlineStr"/>
      <c r="U26" s="29" t="inlineStr"/>
      <c r="V26" s="29" t="inlineStr"/>
    </row>
    <row r="27" ht="24" customHeight="1">
      <c r="A27" s="21" t="inlineStr">
        <is>
          <t>E12</t>
        </is>
      </c>
      <c r="B27" s="21" t="n">
        <v>23</v>
      </c>
      <c r="C27" s="21" t="inlineStr">
        <is>
          <t>Exercise</t>
        </is>
      </c>
      <c r="D27" s="21" t="inlineStr">
        <is>
          <t>Ex 31,32</t>
        </is>
      </c>
      <c r="E27" s="22" t="inlineStr">
        <is>
          <t>Statistics-flavored</t>
        </is>
      </c>
      <c r="F27" s="22" t="inlineStr">
        <is>
          <t>Connect median / central value with convergence notions</t>
        </is>
      </c>
      <c r="G27" s="23" t="n">
        <v>23</v>
      </c>
      <c r="H27" s="24">
        <f>IF(Protocol!$B$3="","",Protocol!$B$3+G27-1)</f>
        <v/>
      </c>
      <c r="I27" s="23" t="n"/>
      <c r="J27" s="23" t="n">
        <v>90</v>
      </c>
      <c r="K27" s="45" t="n"/>
      <c r="L27" s="45" t="n"/>
      <c r="M27" s="26">
        <f>IF(AND(K27&lt;&gt;"",L27&lt;&gt;""),(L27-K27)*1440,"")</f>
        <v/>
      </c>
      <c r="N27" s="45" t="n"/>
      <c r="O27" s="45" t="n"/>
      <c r="P27" s="26">
        <f>IF(AND(N27&lt;&gt;"",O27&lt;&gt;""),(O27-N27)*1440,"")</f>
        <v/>
      </c>
      <c r="Q27" s="30" t="inlineStr">
        <is>
          <t>Not Started</t>
        </is>
      </c>
      <c r="R27" s="28">
        <f>IF(O27&lt;&gt;"",INT(O27)+2,"")</f>
        <v/>
      </c>
      <c r="S27" s="27" t="inlineStr">
        <is>
          <t>No</t>
        </is>
      </c>
      <c r="T27" s="30" t="inlineStr"/>
      <c r="U27" s="29" t="inlineStr"/>
      <c r="V27" s="29" t="inlineStr"/>
    </row>
    <row r="28" ht="24" customHeight="1">
      <c r="A28" s="31" t="inlineStr">
        <is>
          <t>S2</t>
        </is>
      </c>
      <c r="B28" s="31" t="n">
        <v>24</v>
      </c>
      <c r="C28" s="31" t="inlineStr">
        <is>
          <t>Summary</t>
        </is>
      </c>
      <c r="D28" s="31" t="inlineStr">
        <is>
          <t>6.4–6.6</t>
        </is>
      </c>
      <c r="E28" s="32" t="inlineStr">
        <is>
          <t>Summary block 2 + Big picture</t>
        </is>
      </c>
      <c r="F28" s="32" t="inlineStr">
        <is>
          <t>Summarize the relationship map among L_p, UI, and moment convergence</t>
        </is>
      </c>
      <c r="G28" s="33" t="n">
        <v>24</v>
      </c>
      <c r="H28" s="24">
        <f>IF(Protocol!$B$3="","",Protocol!$B$3+G28-1)</f>
        <v/>
      </c>
      <c r="I28" s="33" t="n">
        <v>50</v>
      </c>
      <c r="J28" s="33" t="n"/>
      <c r="K28" s="45" t="n"/>
      <c r="L28" s="45" t="n"/>
      <c r="M28" s="26">
        <f>IF(AND(K28&lt;&gt;"",L28&lt;&gt;""),(L28-K28)*1440,"")</f>
        <v/>
      </c>
      <c r="N28" s="46" t="n"/>
      <c r="O28" s="46" t="n"/>
      <c r="P28" s="35">
        <f>IF(AND(N28&lt;&gt;"",O28&lt;&gt;""),(O28-N28)*1440,"")</f>
        <v/>
      </c>
      <c r="Q28" s="27" t="inlineStr">
        <is>
          <t>Not Started</t>
        </is>
      </c>
      <c r="R28" s="28">
        <f>IF(O28&lt;&gt;"",INT(O28)+2,"")</f>
        <v/>
      </c>
      <c r="S28" s="36" t="inlineStr">
        <is>
          <t>No</t>
        </is>
      </c>
      <c r="T28" s="36" t="inlineStr"/>
      <c r="U28" s="29" t="inlineStr"/>
      <c r="V28" s="29" t="inlineStr"/>
    </row>
  </sheetData>
  <mergeCells count="2">
    <mergeCell ref="A1:V1"/>
    <mergeCell ref="E2:J2"/>
  </mergeCells>
  <conditionalFormatting sqref="Q5:Q28">
    <cfRule type="containsText" priority="1" operator="containsText" dxfId="0">
      <formula>NOT(ISERROR(SEARCH("Completed",Q5)))</formula>
    </cfRule>
    <cfRule type="containsText" priority="2" operator="containsText" dxfId="1">
      <formula>NOT(ISERROR(SEARCH("Reading",Q5)))</formula>
    </cfRule>
    <cfRule type="containsText" priority="3" operator="containsText" dxfId="2">
      <formula>NOT(ISERROR(SEARCH("Doing Exercises",Q5)))</formula>
    </cfRule>
    <cfRule type="containsText" priority="4" operator="containsText" dxfId="3">
      <formula>NOT(ISERROR(SEARCH("Review Due",Q5)))</formula>
    </cfRule>
    <cfRule type="containsText" priority="5" operator="containsText" dxfId="4">
      <formula>NOT(ISERROR(SEARCH("Not Started",Q5)))</formula>
    </cfRule>
  </conditionalFormatting>
  <dataValidations count="3">
    <dataValidation sqref="Q5:Q28" showDropDown="0" showInputMessage="0" showErrorMessage="0" allowBlank="0" type="list">
      <formula1>=Protocol!$D$4:$D$8</formula1>
    </dataValidation>
    <dataValidation sqref="T5:T28" showDropDown="0" showInputMessage="0" showErrorMessage="0" allowBlank="1" type="list">
      <formula1>=Protocol!$F$4:$F$8</formula1>
    </dataValidation>
    <dataValidation sqref="G4:G15 S5:S28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42" customWidth="1" min="4" max="4"/>
    <col width="11" customWidth="1" min="5" max="5"/>
    <col width="14" customWidth="1" min="6" max="6"/>
    <col width="9" customWidth="1" min="7" max="7"/>
  </cols>
  <sheetData>
    <row r="1">
      <c r="A1" s="1" t="inlineStr">
        <is>
          <t>Exercise Map for Chapter 6</t>
        </is>
      </c>
    </row>
    <row r="3">
      <c r="A3" s="2" t="inlineStr">
        <is>
          <t>Unit ID</t>
        </is>
      </c>
      <c r="B3" s="2" t="inlineStr">
        <is>
          <t>Exercises</t>
        </is>
      </c>
      <c r="C3" s="2" t="inlineStr">
        <is>
          <t>Topic Cluster</t>
        </is>
      </c>
      <c r="D3" s="2" t="inlineStr">
        <is>
          <t>Why this set matters</t>
        </is>
      </c>
      <c r="E3" s="2" t="inlineStr">
        <is>
          <t>Priority</t>
        </is>
      </c>
      <c r="F3" s="2" t="inlineStr">
        <is>
          <t>Suggested after</t>
        </is>
      </c>
      <c r="G3" s="2" t="inlineStr">
        <is>
          <t>Done?</t>
        </is>
      </c>
    </row>
    <row r="4">
      <c r="A4" s="37" t="inlineStr">
        <is>
          <t>E1</t>
        </is>
      </c>
      <c r="B4" s="37" t="inlineStr">
        <is>
          <t>1, 12</t>
        </is>
      </c>
      <c r="C4" s="38" t="inlineStr">
        <is>
          <t>Core convergence 1</t>
        </is>
      </c>
      <c r="D4" s="38" t="inlineStr">
        <is>
          <t>Build the foundations: definitions + criteria</t>
        </is>
      </c>
      <c r="E4" s="37" t="inlineStr">
        <is>
          <t>High</t>
        </is>
      </c>
      <c r="F4" s="37" t="inlineStr">
        <is>
          <t>R4</t>
        </is>
      </c>
      <c r="G4" s="39" t="inlineStr">
        <is>
          <t>No</t>
        </is>
      </c>
    </row>
    <row r="5">
      <c r="A5" s="37" t="inlineStr">
        <is>
          <t>E2</t>
        </is>
      </c>
      <c r="B5" s="37" t="inlineStr">
        <is>
          <t>17, 19, 21</t>
        </is>
      </c>
      <c r="C5" s="38" t="inlineStr">
        <is>
          <t>Core convergence 2</t>
        </is>
      </c>
      <c r="D5" s="38" t="inlineStr">
        <is>
          <t>Basic properties: discrete cases, comparisons, event distance</t>
        </is>
      </c>
      <c r="E5" s="37" t="inlineStr">
        <is>
          <t>High</t>
        </is>
      </c>
      <c r="F5" s="37" t="inlineStr">
        <is>
          <t>R4</t>
        </is>
      </c>
      <c r="G5" s="39" t="inlineStr">
        <is>
          <t>No</t>
        </is>
      </c>
    </row>
    <row r="6">
      <c r="A6" s="37" t="inlineStr">
        <is>
          <t>E3</t>
        </is>
      </c>
      <c r="B6" s="37" t="inlineStr">
        <is>
          <t>24, 25</t>
        </is>
      </c>
      <c r="C6" s="38" t="inlineStr">
        <is>
          <t>Subsequence / mapping / metric</t>
        </is>
      </c>
      <c r="D6" s="38" t="inlineStr">
        <is>
          <t>Work through the most important ideas of Section 6.3</t>
        </is>
      </c>
      <c r="E6" s="37" t="inlineStr">
        <is>
          <t>High</t>
        </is>
      </c>
      <c r="F6" s="37" t="inlineStr">
        <is>
          <t>R4</t>
        </is>
      </c>
      <c r="G6" s="39" t="inlineStr">
        <is>
          <t>No</t>
        </is>
      </c>
    </row>
    <row r="7">
      <c r="A7" s="37" t="inlineStr">
        <is>
          <t>E4</t>
        </is>
      </c>
      <c r="B7" s="37" t="inlineStr">
        <is>
          <t>2, 4</t>
        </is>
      </c>
      <c r="C7" s="38" t="inlineStr">
        <is>
          <t>Means and second moments</t>
        </is>
      </c>
      <c r="D7" s="38" t="inlineStr">
        <is>
          <t>Connect with averaging and L2</t>
        </is>
      </c>
      <c r="E7" s="37" t="inlineStr">
        <is>
          <t>Medium</t>
        </is>
      </c>
      <c r="F7" s="37" t="inlineStr">
        <is>
          <t>R10</t>
        </is>
      </c>
      <c r="G7" s="39" t="inlineStr">
        <is>
          <t>No</t>
        </is>
      </c>
    </row>
    <row r="8">
      <c r="A8" s="37" t="inlineStr">
        <is>
          <t>E5</t>
        </is>
      </c>
      <c r="B8" s="37" t="inlineStr">
        <is>
          <t>5, 6, 8</t>
        </is>
      </c>
      <c r="C8" s="38" t="inlineStr">
        <is>
          <t>UI basics</t>
        </is>
      </c>
      <c r="D8" s="38" t="inlineStr">
        <is>
          <t>Start with basic UI practice</t>
        </is>
      </c>
      <c r="E8" s="37" t="inlineStr">
        <is>
          <t>High</t>
        </is>
      </c>
      <c r="F8" s="37" t="inlineStr">
        <is>
          <t>R10</t>
        </is>
      </c>
      <c r="G8" s="39" t="inlineStr">
        <is>
          <t>No</t>
        </is>
      </c>
    </row>
    <row r="9">
      <c r="A9" s="37" t="inlineStr">
        <is>
          <t>E6</t>
        </is>
      </c>
      <c r="B9" s="37" t="inlineStr">
        <is>
          <t>3, 9, 10</t>
        </is>
      </c>
      <c r="C9" s="38" t="inlineStr">
        <is>
          <t>Inequalities + UI tests</t>
        </is>
      </c>
      <c r="D9" s="38" t="inlineStr">
        <is>
          <t>Practice the estimation tools</t>
        </is>
      </c>
      <c r="E9" s="37" t="inlineStr">
        <is>
          <t>High</t>
        </is>
      </c>
      <c r="F9" s="37" t="inlineStr">
        <is>
          <t>R10</t>
        </is>
      </c>
      <c r="G9" s="39" t="inlineStr">
        <is>
          <t>No</t>
        </is>
      </c>
    </row>
    <row r="10">
      <c r="A10" s="37" t="inlineStr">
        <is>
          <t>E7</t>
        </is>
      </c>
      <c r="B10" s="37" t="inlineStr">
        <is>
          <t>15, 16, 18</t>
        </is>
      </c>
      <c r="C10" s="38" t="inlineStr">
        <is>
          <t>L_p basics</t>
        </is>
      </c>
      <c r="D10" s="38" t="inlineStr">
        <is>
          <t>See the strength relations between Lp and probability</t>
        </is>
      </c>
      <c r="E10" s="37" t="inlineStr">
        <is>
          <t>High</t>
        </is>
      </c>
      <c r="F10" s="37" t="inlineStr">
        <is>
          <t>R10</t>
        </is>
      </c>
      <c r="G10" s="39" t="inlineStr">
        <is>
          <t>No</t>
        </is>
      </c>
    </row>
    <row r="11">
      <c r="A11" s="37" t="inlineStr">
        <is>
          <t>E8</t>
        </is>
      </c>
      <c r="B11" s="37" t="inlineStr">
        <is>
          <t>20, 22, 30</t>
        </is>
      </c>
      <c r="C11" s="38" t="inlineStr">
        <is>
          <t>Moment / tail / probability</t>
        </is>
      </c>
      <c r="D11" s="38" t="inlineStr">
        <is>
          <t>Connect moment control with probability control</t>
        </is>
      </c>
      <c r="E11" s="37" t="inlineStr">
        <is>
          <t>High</t>
        </is>
      </c>
      <c r="F11" s="37" t="inlineStr">
        <is>
          <t>R10</t>
        </is>
      </c>
      <c r="G11" s="39" t="inlineStr">
        <is>
          <t>No</t>
        </is>
      </c>
    </row>
    <row r="12">
      <c r="A12" s="37" t="inlineStr">
        <is>
          <t>E9</t>
        </is>
      </c>
      <c r="B12" s="37" t="inlineStr">
        <is>
          <t>11, 13, 14</t>
        </is>
      </c>
      <c r="C12" s="38" t="inlineStr">
        <is>
          <t>Maxima / extremes style</t>
        </is>
      </c>
      <c r="D12" s="38" t="inlineStr">
        <is>
          <t>Tail and extreme-value style problems</t>
        </is>
      </c>
      <c r="E12" s="37" t="inlineStr">
        <is>
          <t>Medium</t>
        </is>
      </c>
      <c r="F12" s="37" t="inlineStr">
        <is>
          <t>R10</t>
        </is>
      </c>
      <c r="G12" s="39" t="inlineStr">
        <is>
          <t>No</t>
        </is>
      </c>
    </row>
    <row r="13">
      <c r="A13" s="37" t="inlineStr">
        <is>
          <t>E10</t>
        </is>
      </c>
      <c r="B13" s="37" t="inlineStr">
        <is>
          <t>26, 27, 28</t>
        </is>
      </c>
      <c r="C13" s="38" t="inlineStr">
        <is>
          <t>Advanced L_p / UI examples</t>
        </is>
      </c>
      <c r="D13" s="38" t="inlineStr">
        <is>
          <t>Counterexamples + structure problems</t>
        </is>
      </c>
      <c r="E13" s="37" t="inlineStr">
        <is>
          <t>Medium</t>
        </is>
      </c>
      <c r="F13" s="37" t="inlineStr">
        <is>
          <t>R10</t>
        </is>
      </c>
      <c r="G13" s="39" t="inlineStr">
        <is>
          <t>No</t>
        </is>
      </c>
    </row>
    <row r="14">
      <c r="A14" s="37" t="inlineStr">
        <is>
          <t>E11</t>
        </is>
      </c>
      <c r="B14" s="37" t="inlineStr">
        <is>
          <t>23, 29, 33</t>
        </is>
      </c>
      <c r="C14" s="38" t="inlineStr">
        <is>
          <t>Mixed advanced</t>
        </is>
      </c>
      <c r="D14" s="38" t="inlineStr">
        <is>
          <t>Constructed examples / triangular arrays</t>
        </is>
      </c>
      <c r="E14" s="37" t="inlineStr">
        <is>
          <t>Medium</t>
        </is>
      </c>
      <c r="F14" s="37" t="inlineStr">
        <is>
          <t>R10</t>
        </is>
      </c>
      <c r="G14" s="39" t="inlineStr">
        <is>
          <t>No</t>
        </is>
      </c>
    </row>
    <row r="15">
      <c r="A15" s="37" t="inlineStr">
        <is>
          <t>E12</t>
        </is>
      </c>
      <c r="B15" s="37" t="inlineStr">
        <is>
          <t>31, 32</t>
        </is>
      </c>
      <c r="C15" s="38" t="inlineStr">
        <is>
          <t>Statistics-flavored</t>
        </is>
      </c>
      <c r="D15" s="38" t="inlineStr">
        <is>
          <t>Use median / central value to close the chapter</t>
        </is>
      </c>
      <c r="E15" s="37" t="inlineStr">
        <is>
          <t>Medium</t>
        </is>
      </c>
      <c r="F15" s="37" t="inlineStr">
        <is>
          <t>R10</t>
        </is>
      </c>
      <c r="G15" s="39" t="inlineStr">
        <is>
          <t>No</t>
        </is>
      </c>
    </row>
  </sheetData>
  <mergeCells count="1">
    <mergeCell ref="A1:G1"/>
  </mergeCells>
  <dataValidations count="1">
    <dataValidation sqref="G4:G15 S5:S28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1" customWidth="1" min="5" max="5"/>
    <col width="14" customWidth="1" min="6" max="6"/>
    <col width="28" customWidth="1" min="7" max="7"/>
    <col width="24" customWidth="1" min="8" max="8"/>
    <col width="24" customWidth="1" min="9" max="9"/>
    <col width="16" customWidth="1" min="10" max="10"/>
  </cols>
  <sheetData>
    <row r="1">
      <c r="A1" s="1" t="inlineStr">
        <is>
          <t>Daily Check-in Log</t>
        </is>
      </c>
    </row>
    <row r="2">
      <c r="A2" s="19" t="inlineStr">
        <is>
          <t>Use one row per day. This sheet is for reflections; Unit Plan remains the source of truth for timings.</t>
        </is>
      </c>
    </row>
    <row r="4">
      <c r="A4" s="2" t="inlineStr">
        <is>
          <t>Date</t>
        </is>
      </c>
      <c r="B4" s="2" t="inlineStr">
        <is>
          <t>Day #</t>
        </is>
      </c>
      <c r="C4" s="2" t="inlineStr">
        <is>
          <t>Units touched</t>
        </is>
      </c>
      <c r="D4" s="2" t="inlineStr">
        <is>
          <t>Read min</t>
        </is>
      </c>
      <c r="E4" s="2" t="inlineStr">
        <is>
          <t>Ex min</t>
        </is>
      </c>
      <c r="F4" s="2" t="inlineStr">
        <is>
          <t>Actual total min</t>
        </is>
      </c>
      <c r="G4" s="2" t="inlineStr">
        <is>
          <t>Big takeaway</t>
        </is>
      </c>
      <c r="H4" s="2" t="inlineStr">
        <is>
          <t>Blocker</t>
        </is>
      </c>
      <c r="I4" s="2" t="inlineStr">
        <is>
          <t>Next action</t>
        </is>
      </c>
      <c r="J4" s="2" t="inlineStr">
        <is>
          <t>Mood / energy</t>
        </is>
      </c>
    </row>
    <row r="5">
      <c r="A5" s="40" t="n"/>
      <c r="B5" s="41">
        <f>IF(A5="","",A5-Protocol!$B$3+1)</f>
        <v/>
      </c>
      <c r="C5" s="42" t="n"/>
      <c r="D5" s="43" t="n"/>
      <c r="E5" s="43" t="n"/>
      <c r="F5" s="26">
        <f>IF(OR(D5&lt;&gt;"",E5&lt;&gt;""),SUM(D5:E5),"")</f>
        <v/>
      </c>
      <c r="G5" s="42" t="n"/>
      <c r="H5" s="42" t="n"/>
      <c r="I5" s="42" t="n"/>
      <c r="J5" s="42" t="n"/>
    </row>
    <row r="6">
      <c r="A6" s="40" t="n"/>
      <c r="B6" s="41">
        <f>IF(A6="","",A6-Protocol!$B$3+1)</f>
        <v/>
      </c>
      <c r="C6" s="42" t="n"/>
      <c r="D6" s="43" t="n"/>
      <c r="E6" s="43" t="n"/>
      <c r="F6" s="26">
        <f>IF(OR(D6&lt;&gt;"",E6&lt;&gt;""),SUM(D6:E6),"")</f>
        <v/>
      </c>
      <c r="G6" s="42" t="n"/>
      <c r="H6" s="42" t="n"/>
      <c r="I6" s="42" t="n"/>
      <c r="J6" s="42" t="n"/>
    </row>
    <row r="7">
      <c r="A7" s="40" t="n"/>
      <c r="B7" s="41">
        <f>IF(A7="","",A7-Protocol!$B$3+1)</f>
        <v/>
      </c>
      <c r="C7" s="42" t="n"/>
      <c r="D7" s="43" t="n"/>
      <c r="E7" s="43" t="n"/>
      <c r="F7" s="26">
        <f>IF(OR(D7&lt;&gt;"",E7&lt;&gt;""),SUM(D7:E7),"")</f>
        <v/>
      </c>
      <c r="G7" s="42" t="n"/>
      <c r="H7" s="42" t="n"/>
      <c r="I7" s="42" t="n"/>
      <c r="J7" s="42" t="n"/>
    </row>
    <row r="8">
      <c r="A8" s="40" t="n"/>
      <c r="B8" s="41">
        <f>IF(A8="","",A8-Protocol!$B$3+1)</f>
        <v/>
      </c>
      <c r="C8" s="42" t="n"/>
      <c r="D8" s="43" t="n"/>
      <c r="E8" s="43" t="n"/>
      <c r="F8" s="26">
        <f>IF(OR(D8&lt;&gt;"",E8&lt;&gt;""),SUM(D8:E8),"")</f>
        <v/>
      </c>
      <c r="G8" s="42" t="n"/>
      <c r="H8" s="42" t="n"/>
      <c r="I8" s="42" t="n"/>
      <c r="J8" s="42" t="n"/>
    </row>
    <row r="9">
      <c r="A9" s="40" t="n"/>
      <c r="B9" s="41">
        <f>IF(A9="","",A9-Protocol!$B$3+1)</f>
        <v/>
      </c>
      <c r="C9" s="42" t="n"/>
      <c r="D9" s="43" t="n"/>
      <c r="E9" s="43" t="n"/>
      <c r="F9" s="26">
        <f>IF(OR(D9&lt;&gt;"",E9&lt;&gt;""),SUM(D9:E9),"")</f>
        <v/>
      </c>
      <c r="G9" s="42" t="n"/>
      <c r="H9" s="42" t="n"/>
      <c r="I9" s="42" t="n"/>
      <c r="J9" s="42" t="n"/>
    </row>
    <row r="10">
      <c r="A10" s="40" t="n"/>
      <c r="B10" s="41">
        <f>IF(A10="","",A10-Protocol!$B$3+1)</f>
        <v/>
      </c>
      <c r="C10" s="42" t="n"/>
      <c r="D10" s="43" t="n"/>
      <c r="E10" s="43" t="n"/>
      <c r="F10" s="26">
        <f>IF(OR(D10&lt;&gt;"",E10&lt;&gt;""),SUM(D10:E10),"")</f>
        <v/>
      </c>
      <c r="G10" s="42" t="n"/>
      <c r="H10" s="42" t="n"/>
      <c r="I10" s="42" t="n"/>
      <c r="J10" s="42" t="n"/>
    </row>
    <row r="11">
      <c r="A11" s="40" t="n"/>
      <c r="B11" s="41">
        <f>IF(A11="","",A11-Protocol!$B$3+1)</f>
        <v/>
      </c>
      <c r="C11" s="42" t="n"/>
      <c r="D11" s="43" t="n"/>
      <c r="E11" s="43" t="n"/>
      <c r="F11" s="26">
        <f>IF(OR(D11&lt;&gt;"",E11&lt;&gt;""),SUM(D11:E11),"")</f>
        <v/>
      </c>
      <c r="G11" s="42" t="n"/>
      <c r="H11" s="42" t="n"/>
      <c r="I11" s="42" t="n"/>
      <c r="J11" s="42" t="n"/>
    </row>
    <row r="12">
      <c r="A12" s="40" t="n"/>
      <c r="B12" s="41">
        <f>IF(A12="","",A12-Protocol!$B$3+1)</f>
        <v/>
      </c>
      <c r="C12" s="42" t="n"/>
      <c r="D12" s="43" t="n"/>
      <c r="E12" s="43" t="n"/>
      <c r="F12" s="26">
        <f>IF(OR(D12&lt;&gt;"",E12&lt;&gt;""),SUM(D12:E12),"")</f>
        <v/>
      </c>
      <c r="G12" s="42" t="n"/>
      <c r="H12" s="42" t="n"/>
      <c r="I12" s="42" t="n"/>
      <c r="J12" s="42" t="n"/>
    </row>
    <row r="13">
      <c r="A13" s="40" t="n"/>
      <c r="B13" s="41">
        <f>IF(A13="","",A13-Protocol!$B$3+1)</f>
        <v/>
      </c>
      <c r="C13" s="42" t="n"/>
      <c r="D13" s="43" t="n"/>
      <c r="E13" s="43" t="n"/>
      <c r="F13" s="26">
        <f>IF(OR(D13&lt;&gt;"",E13&lt;&gt;""),SUM(D13:E13),"")</f>
        <v/>
      </c>
      <c r="G13" s="42" t="n"/>
      <c r="H13" s="42" t="n"/>
      <c r="I13" s="42" t="n"/>
      <c r="J13" s="42" t="n"/>
    </row>
    <row r="14">
      <c r="A14" s="40" t="n"/>
      <c r="B14" s="41">
        <f>IF(A14="","",A14-Protocol!$B$3+1)</f>
        <v/>
      </c>
      <c r="C14" s="42" t="n"/>
      <c r="D14" s="43" t="n"/>
      <c r="E14" s="43" t="n"/>
      <c r="F14" s="26">
        <f>IF(OR(D14&lt;&gt;"",E14&lt;&gt;""),SUM(D14:E14),"")</f>
        <v/>
      </c>
      <c r="G14" s="42" t="n"/>
      <c r="H14" s="42" t="n"/>
      <c r="I14" s="42" t="n"/>
      <c r="J14" s="42" t="n"/>
    </row>
    <row r="15">
      <c r="A15" s="40" t="n"/>
      <c r="B15" s="41">
        <f>IF(A15="","",A15-Protocol!$B$3+1)</f>
        <v/>
      </c>
      <c r="C15" s="42" t="n"/>
      <c r="D15" s="43" t="n"/>
      <c r="E15" s="43" t="n"/>
      <c r="F15" s="26">
        <f>IF(OR(D15&lt;&gt;"",E15&lt;&gt;""),SUM(D15:E15),"")</f>
        <v/>
      </c>
      <c r="G15" s="42" t="n"/>
      <c r="H15" s="42" t="n"/>
      <c r="I15" s="42" t="n"/>
      <c r="J15" s="42" t="n"/>
    </row>
    <row r="16">
      <c r="A16" s="40" t="n"/>
      <c r="B16" s="41">
        <f>IF(A16="","",A16-Protocol!$B$3+1)</f>
        <v/>
      </c>
      <c r="C16" s="42" t="n"/>
      <c r="D16" s="43" t="n"/>
      <c r="E16" s="43" t="n"/>
      <c r="F16" s="26">
        <f>IF(OR(D16&lt;&gt;"",E16&lt;&gt;""),SUM(D16:E16),"")</f>
        <v/>
      </c>
      <c r="G16" s="42" t="n"/>
      <c r="H16" s="42" t="n"/>
      <c r="I16" s="42" t="n"/>
      <c r="J16" s="42" t="n"/>
    </row>
    <row r="17">
      <c r="A17" s="40" t="n"/>
      <c r="B17" s="41">
        <f>IF(A17="","",A17-Protocol!$B$3+1)</f>
        <v/>
      </c>
      <c r="C17" s="42" t="n"/>
      <c r="D17" s="43" t="n"/>
      <c r="E17" s="43" t="n"/>
      <c r="F17" s="26">
        <f>IF(OR(D17&lt;&gt;"",E17&lt;&gt;""),SUM(D17:E17),"")</f>
        <v/>
      </c>
      <c r="G17" s="42" t="n"/>
      <c r="H17" s="42" t="n"/>
      <c r="I17" s="42" t="n"/>
      <c r="J17" s="42" t="n"/>
    </row>
    <row r="18">
      <c r="A18" s="40" t="n"/>
      <c r="B18" s="41">
        <f>IF(A18="","",A18-Protocol!$B$3+1)</f>
        <v/>
      </c>
      <c r="C18" s="42" t="n"/>
      <c r="D18" s="43" t="n"/>
      <c r="E18" s="43" t="n"/>
      <c r="F18" s="26">
        <f>IF(OR(D18&lt;&gt;"",E18&lt;&gt;""),SUM(D18:E18),"")</f>
        <v/>
      </c>
      <c r="G18" s="42" t="n"/>
      <c r="H18" s="42" t="n"/>
      <c r="I18" s="42" t="n"/>
      <c r="J18" s="42" t="n"/>
    </row>
    <row r="19">
      <c r="A19" s="40" t="n"/>
      <c r="B19" s="41">
        <f>IF(A19="","",A19-Protocol!$B$3+1)</f>
        <v/>
      </c>
      <c r="C19" s="42" t="n"/>
      <c r="D19" s="43" t="n"/>
      <c r="E19" s="43" t="n"/>
      <c r="F19" s="26">
        <f>IF(OR(D19&lt;&gt;"",E19&lt;&gt;""),SUM(D19:E19),"")</f>
        <v/>
      </c>
      <c r="G19" s="42" t="n"/>
      <c r="H19" s="42" t="n"/>
      <c r="I19" s="42" t="n"/>
      <c r="J19" s="42" t="n"/>
    </row>
    <row r="20">
      <c r="A20" s="40" t="n"/>
      <c r="B20" s="41">
        <f>IF(A20="","",A20-Protocol!$B$3+1)</f>
        <v/>
      </c>
      <c r="C20" s="42" t="n"/>
      <c r="D20" s="43" t="n"/>
      <c r="E20" s="43" t="n"/>
      <c r="F20" s="26">
        <f>IF(OR(D20&lt;&gt;"",E20&lt;&gt;""),SUM(D20:E20),"")</f>
        <v/>
      </c>
      <c r="G20" s="42" t="n"/>
      <c r="H20" s="42" t="n"/>
      <c r="I20" s="42" t="n"/>
      <c r="J20" s="42" t="n"/>
    </row>
    <row r="21">
      <c r="A21" s="40" t="n"/>
      <c r="B21" s="41">
        <f>IF(A21="","",A21-Protocol!$B$3+1)</f>
        <v/>
      </c>
      <c r="C21" s="42" t="n"/>
      <c r="D21" s="43" t="n"/>
      <c r="E21" s="43" t="n"/>
      <c r="F21" s="26">
        <f>IF(OR(D21&lt;&gt;"",E21&lt;&gt;""),SUM(D21:E21),"")</f>
        <v/>
      </c>
      <c r="G21" s="42" t="n"/>
      <c r="H21" s="42" t="n"/>
      <c r="I21" s="42" t="n"/>
      <c r="J21" s="42" t="n"/>
    </row>
    <row r="22">
      <c r="A22" s="40" t="n"/>
      <c r="B22" s="41">
        <f>IF(A22="","",A22-Protocol!$B$3+1)</f>
        <v/>
      </c>
      <c r="C22" s="42" t="n"/>
      <c r="D22" s="43" t="n"/>
      <c r="E22" s="43" t="n"/>
      <c r="F22" s="26">
        <f>IF(OR(D22&lt;&gt;"",E22&lt;&gt;""),SUM(D22:E22),"")</f>
        <v/>
      </c>
      <c r="G22" s="42" t="n"/>
      <c r="H22" s="42" t="n"/>
      <c r="I22" s="42" t="n"/>
      <c r="J22" s="42" t="n"/>
    </row>
    <row r="23">
      <c r="A23" s="40" t="n"/>
      <c r="B23" s="41">
        <f>IF(A23="","",A23-Protocol!$B$3+1)</f>
        <v/>
      </c>
      <c r="C23" s="42" t="n"/>
      <c r="D23" s="43" t="n"/>
      <c r="E23" s="43" t="n"/>
      <c r="F23" s="26">
        <f>IF(OR(D23&lt;&gt;"",E23&lt;&gt;""),SUM(D23:E23),"")</f>
        <v/>
      </c>
      <c r="G23" s="42" t="n"/>
      <c r="H23" s="42" t="n"/>
      <c r="I23" s="42" t="n"/>
      <c r="J23" s="42" t="n"/>
    </row>
    <row r="24">
      <c r="A24" s="40" t="n"/>
      <c r="B24" s="41">
        <f>IF(A24="","",A24-Protocol!$B$3+1)</f>
        <v/>
      </c>
      <c r="C24" s="42" t="n"/>
      <c r="D24" s="43" t="n"/>
      <c r="E24" s="43" t="n"/>
      <c r="F24" s="26">
        <f>IF(OR(D24&lt;&gt;"",E24&lt;&gt;""),SUM(D24:E24),"")</f>
        <v/>
      </c>
      <c r="G24" s="42" t="n"/>
      <c r="H24" s="42" t="n"/>
      <c r="I24" s="42" t="n"/>
      <c r="J24" s="42" t="n"/>
    </row>
    <row r="25">
      <c r="A25" s="40" t="n"/>
      <c r="B25" s="41">
        <f>IF(A25="","",A25-Protocol!$B$3+1)</f>
        <v/>
      </c>
      <c r="C25" s="42" t="n"/>
      <c r="D25" s="43" t="n"/>
      <c r="E25" s="43" t="n"/>
      <c r="F25" s="26">
        <f>IF(OR(D25&lt;&gt;"",E25&lt;&gt;""),SUM(D25:E25),"")</f>
        <v/>
      </c>
      <c r="G25" s="42" t="n"/>
      <c r="H25" s="42" t="n"/>
      <c r="I25" s="42" t="n"/>
      <c r="J25" s="42" t="n"/>
    </row>
    <row r="26">
      <c r="A26" s="40" t="n"/>
      <c r="B26" s="41">
        <f>IF(A26="","",A26-Protocol!$B$3+1)</f>
        <v/>
      </c>
      <c r="C26" s="42" t="n"/>
      <c r="D26" s="43" t="n"/>
      <c r="E26" s="43" t="n"/>
      <c r="F26" s="26">
        <f>IF(OR(D26&lt;&gt;"",E26&lt;&gt;""),SUM(D26:E26),"")</f>
        <v/>
      </c>
      <c r="G26" s="42" t="n"/>
      <c r="H26" s="42" t="n"/>
      <c r="I26" s="42" t="n"/>
      <c r="J26" s="42" t="n"/>
    </row>
    <row r="27">
      <c r="A27" s="40" t="n"/>
      <c r="B27" s="41">
        <f>IF(A27="","",A27-Protocol!$B$3+1)</f>
        <v/>
      </c>
      <c r="C27" s="42" t="n"/>
      <c r="D27" s="43" t="n"/>
      <c r="E27" s="43" t="n"/>
      <c r="F27" s="26">
        <f>IF(OR(D27&lt;&gt;"",E27&lt;&gt;""),SUM(D27:E27),"")</f>
        <v/>
      </c>
      <c r="G27" s="42" t="n"/>
      <c r="H27" s="42" t="n"/>
      <c r="I27" s="42" t="n"/>
      <c r="J27" s="42" t="n"/>
    </row>
    <row r="28">
      <c r="A28" s="40" t="n"/>
      <c r="B28" s="41">
        <f>IF(A28="","",A28-Protocol!$B$3+1)</f>
        <v/>
      </c>
      <c r="C28" s="42" t="n"/>
      <c r="D28" s="43" t="n"/>
      <c r="E28" s="43" t="n"/>
      <c r="F28" s="26">
        <f>IF(OR(D28&lt;&gt;"",E28&lt;&gt;""),SUM(D28:E28),"")</f>
        <v/>
      </c>
      <c r="G28" s="42" t="n"/>
      <c r="H28" s="42" t="n"/>
      <c r="I28" s="42" t="n"/>
      <c r="J28" s="42" t="n"/>
    </row>
    <row r="29">
      <c r="A29" s="40" t="n"/>
      <c r="B29" s="41">
        <f>IF(A29="","",A29-Protocol!$B$3+1)</f>
        <v/>
      </c>
      <c r="C29" s="42" t="n"/>
      <c r="D29" s="43" t="n"/>
      <c r="E29" s="43" t="n"/>
      <c r="F29" s="26">
        <f>IF(OR(D29&lt;&gt;"",E29&lt;&gt;""),SUM(D29:E29),"")</f>
        <v/>
      </c>
      <c r="G29" s="42" t="n"/>
      <c r="H29" s="42" t="n"/>
      <c r="I29" s="42" t="n"/>
      <c r="J29" s="42" t="n"/>
    </row>
    <row r="30">
      <c r="A30" s="40" t="n"/>
      <c r="B30" s="41">
        <f>IF(A30="","",A30-Protocol!$B$3+1)</f>
        <v/>
      </c>
      <c r="C30" s="42" t="n"/>
      <c r="D30" s="43" t="n"/>
      <c r="E30" s="43" t="n"/>
      <c r="F30" s="26">
        <f>IF(OR(D30&lt;&gt;"",E30&lt;&gt;""),SUM(D30:E30),"")</f>
        <v/>
      </c>
      <c r="G30" s="42" t="n"/>
      <c r="H30" s="42" t="n"/>
      <c r="I30" s="42" t="n"/>
      <c r="J30" s="42" t="n"/>
    </row>
    <row r="31">
      <c r="A31" s="40" t="n"/>
      <c r="B31" s="41">
        <f>IF(A31="","",A31-Protocol!$B$3+1)</f>
        <v/>
      </c>
      <c r="C31" s="42" t="n"/>
      <c r="D31" s="43" t="n"/>
      <c r="E31" s="43" t="n"/>
      <c r="F31" s="26">
        <f>IF(OR(D31&lt;&gt;"",E31&lt;&gt;""),SUM(D31:E31),"")</f>
        <v/>
      </c>
      <c r="G31" s="42" t="n"/>
      <c r="H31" s="42" t="n"/>
      <c r="I31" s="42" t="n"/>
      <c r="J31" s="42" t="n"/>
    </row>
    <row r="32">
      <c r="A32" s="40" t="n"/>
      <c r="B32" s="41">
        <f>IF(A32="","",A32-Protocol!$B$3+1)</f>
        <v/>
      </c>
      <c r="C32" s="42" t="n"/>
      <c r="D32" s="43" t="n"/>
      <c r="E32" s="43" t="n"/>
      <c r="F32" s="26">
        <f>IF(OR(D32&lt;&gt;"",E32&lt;&gt;""),SUM(D32:E32),"")</f>
        <v/>
      </c>
      <c r="G32" s="42" t="n"/>
      <c r="H32" s="42" t="n"/>
      <c r="I32" s="42" t="n"/>
      <c r="J32" s="42" t="n"/>
    </row>
    <row r="33">
      <c r="A33" s="40" t="n"/>
      <c r="B33" s="41">
        <f>IF(A33="","",A33-Protocol!$B$3+1)</f>
        <v/>
      </c>
      <c r="C33" s="42" t="n"/>
      <c r="D33" s="43" t="n"/>
      <c r="E33" s="43" t="n"/>
      <c r="F33" s="26">
        <f>IF(OR(D33&lt;&gt;"",E33&lt;&gt;""),SUM(D33:E33),"")</f>
        <v/>
      </c>
      <c r="G33" s="42" t="n"/>
      <c r="H33" s="42" t="n"/>
      <c r="I33" s="42" t="n"/>
      <c r="J33" s="42" t="n"/>
    </row>
    <row r="34">
      <c r="A34" s="40" t="n"/>
      <c r="B34" s="41">
        <f>IF(A34="","",A34-Protocol!$B$3+1)</f>
        <v/>
      </c>
      <c r="C34" s="42" t="n"/>
      <c r="D34" s="43" t="n"/>
      <c r="E34" s="43" t="n"/>
      <c r="F34" s="26">
        <f>IF(OR(D34&lt;&gt;"",E34&lt;&gt;""),SUM(D34:E34),"")</f>
        <v/>
      </c>
      <c r="G34" s="42" t="n"/>
      <c r="H34" s="42" t="n"/>
      <c r="I34" s="42" t="n"/>
      <c r="J34" s="42" t="n"/>
    </row>
    <row r="35">
      <c r="A35" s="40" t="n"/>
      <c r="B35" s="41">
        <f>IF(A35="","",A35-Protocol!$B$3+1)</f>
        <v/>
      </c>
      <c r="C35" s="42" t="n"/>
      <c r="D35" s="43" t="n"/>
      <c r="E35" s="43" t="n"/>
      <c r="F35" s="26">
        <f>IF(OR(D35&lt;&gt;"",E35&lt;&gt;""),SUM(D35:E35),"")</f>
        <v/>
      </c>
      <c r="G35" s="42" t="n"/>
      <c r="H35" s="42" t="n"/>
      <c r="I35" s="42" t="n"/>
      <c r="J35" s="42" t="n"/>
    </row>
    <row r="36">
      <c r="A36" s="40" t="n"/>
      <c r="B36" s="41">
        <f>IF(A36="","",A36-Protocol!$B$3+1)</f>
        <v/>
      </c>
      <c r="C36" s="42" t="n"/>
      <c r="D36" s="43" t="n"/>
      <c r="E36" s="43" t="n"/>
      <c r="F36" s="26">
        <f>IF(OR(D36&lt;&gt;"",E36&lt;&gt;""),SUM(D36:E36),"")</f>
        <v/>
      </c>
      <c r="G36" s="42" t="n"/>
      <c r="H36" s="42" t="n"/>
      <c r="I36" s="42" t="n"/>
      <c r="J36" s="42" t="n"/>
    </row>
    <row r="37">
      <c r="A37" s="40" t="n"/>
      <c r="B37" s="41">
        <f>IF(A37="","",A37-Protocol!$B$3+1)</f>
        <v/>
      </c>
      <c r="C37" s="42" t="n"/>
      <c r="D37" s="43" t="n"/>
      <c r="E37" s="43" t="n"/>
      <c r="F37" s="26">
        <f>IF(OR(D37&lt;&gt;"",E37&lt;&gt;""),SUM(D37:E37),"")</f>
        <v/>
      </c>
      <c r="G37" s="42" t="n"/>
      <c r="H37" s="42" t="n"/>
      <c r="I37" s="42" t="n"/>
      <c r="J37" s="42" t="n"/>
    </row>
    <row r="38">
      <c r="A38" s="40" t="n"/>
      <c r="B38" s="41">
        <f>IF(A38="","",A38-Protocol!$B$3+1)</f>
        <v/>
      </c>
      <c r="C38" s="42" t="n"/>
      <c r="D38" s="43" t="n"/>
      <c r="E38" s="43" t="n"/>
      <c r="F38" s="26">
        <f>IF(OR(D38&lt;&gt;"",E38&lt;&gt;""),SUM(D38:E38),"")</f>
        <v/>
      </c>
      <c r="G38" s="42" t="n"/>
      <c r="H38" s="42" t="n"/>
      <c r="I38" s="42" t="n"/>
      <c r="J38" s="42" t="n"/>
    </row>
    <row r="39">
      <c r="A39" s="40" t="n"/>
      <c r="B39" s="41">
        <f>IF(A39="","",A39-Protocol!$B$3+1)</f>
        <v/>
      </c>
      <c r="C39" s="42" t="n"/>
      <c r="D39" s="43" t="n"/>
      <c r="E39" s="43" t="n"/>
      <c r="F39" s="26">
        <f>IF(OR(D39&lt;&gt;"",E39&lt;&gt;""),SUM(D39:E39),"")</f>
        <v/>
      </c>
      <c r="G39" s="42" t="n"/>
      <c r="H39" s="42" t="n"/>
      <c r="I39" s="42" t="n"/>
      <c r="J39" s="42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2026-04-01T08:44:58Z</dcterms:created>
  <dcterms:modified xmlns:dcterms="http://purl.org/dc/terms/" xmlns:xsi="http://www.w3.org/2001/XMLSchema-instance" xsi:type="dcterms:W3CDTF">2026-04-01T08:44:58Z</dcterms:modified>
</cp:coreProperties>
</file>