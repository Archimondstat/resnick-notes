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85" activeTab="2"/>
  </bookViews>
  <sheets>
    <sheet name="Dashboard" sheetId="1" r:id="rId1"/>
    <sheet name="Protocol" sheetId="2" r:id="rId2"/>
    <sheet name="Unit Plan" sheetId="3" r:id="rId3"/>
    <sheet name="Exercise Map" sheetId="4" r:id="rId4"/>
    <sheet name="Daily Log" sheetId="5" r:id="rId5"/>
  </sheets>
  <calcPr calcId="144525"/>
</workbook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1"/>
            <color rgb="FF000000"/>
            <rFont val="Calibri"/>
            <scheme val="minor"/>
            <charset val="1"/>
          </rPr>
          <t>Chapter 6 source file uploaded by user: /mnt/data/chap6.pdf</t>
        </r>
      </text>
    </comment>
    <comment ref="B3" authorId="0">
      <text>
        <r>
          <rPr>
            <sz val="11"/>
            <color rgb="FF000000"/>
            <rFont val="Calibri"/>
            <scheme val="minor"/>
            <charset val="1"/>
          </rPr>
          <t>可选：如果你想用 Suggested Day 自动生成建议日期，就在这里填本章开始日期。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1"/>
            <color rgb="FF000000"/>
            <rFont val="Calibri"/>
            <scheme val="minor"/>
            <charset val="1"/>
          </rPr>
          <t>Built from the user's Chapter 6 PDF and the agreed study protocol. Source URL for Chapter 5 notes provided by user: https://archimondstat.github.io/resnick-notes/chap-5-integration-and-expectation.html</t>
        </r>
      </text>
    </comment>
  </commentList>
</comments>
</file>

<file path=xl/sharedStrings.xml><?xml version="1.0" encoding="utf-8"?>
<sst xmlns="http://schemas.openxmlformats.org/spreadsheetml/2006/main" count="605" uniqueCount="269">
  <si>
    <t>Progress Dashboard</t>
  </si>
  <si>
    <t>Metric</t>
  </si>
  <si>
    <t>Value</t>
  </si>
  <si>
    <t>Start Date</t>
  </si>
  <si>
    <t>see Protocol</t>
  </si>
  <si>
    <t>Open C1 Reviews</t>
  </si>
  <si>
    <t>Total Units</t>
  </si>
  <si>
    <t>Independent Reproductions</t>
  </si>
  <si>
    <t>Units Completed</t>
  </si>
  <si>
    <t>Avg Read Min</t>
  </si>
  <si>
    <t>Reading Units Done</t>
  </si>
  <si>
    <t>Avg Ex Min</t>
  </si>
  <si>
    <t>Exercise Units Done</t>
  </si>
  <si>
    <t>Daily Logs Filled</t>
  </si>
  <si>
    <t>Summary Units Done</t>
  </si>
  <si>
    <t>Current Focus</t>
  </si>
  <si>
    <t>Completion %</t>
  </si>
  <si>
    <t>Last Completed Unit</t>
  </si>
  <si>
    <t>Section Progress</t>
  </si>
  <si>
    <t>Block</t>
  </si>
  <si>
    <t>Planned Units</t>
  </si>
  <si>
    <t>Completed</t>
  </si>
  <si>
    <t>Notes</t>
  </si>
  <si>
    <t>6.1–6.3</t>
  </si>
  <si>
    <t>Ground the convergence relations first</t>
  </si>
  <si>
    <t>6.4–6.6</t>
  </si>
  <si>
    <t>Slow down at UI and L_p</t>
  </si>
  <si>
    <t>Exercises</t>
  </si>
  <si>
    <t>Use Reproduce level before marking complete</t>
  </si>
  <si>
    <t>Chapter 6 Study Check-In Guide (A Probability Path)</t>
  </si>
  <si>
    <t>Not Started</t>
  </si>
  <si>
    <t>Not started</t>
  </si>
  <si>
    <t>Reading</t>
  </si>
  <si>
    <t>My idea only</t>
  </si>
  <si>
    <t>Start Date (edit)</t>
  </si>
  <si>
    <t>Status options</t>
  </si>
  <si>
    <t>Reproduce level</t>
  </si>
  <si>
    <t>Doing Exercises</t>
  </si>
  <si>
    <t>Compared with answer</t>
  </si>
  <si>
    <t>With help</t>
  </si>
  <si>
    <t>Rules</t>
  </si>
  <si>
    <t>Review</t>
  </si>
  <si>
    <t>Independent</t>
  </si>
  <si>
    <t>1. Track reading and exercises separately: use columns K–M for reading and N–P for exercises.</t>
  </si>
  <si>
    <t>2. Actual start = when you begin the task; Actual end = when you truly finish that stage.</t>
  </si>
  <si>
    <t>3. Exercise scheduling rule: plan at most one exercise problem per day.</t>
  </si>
  <si>
    <t>4. For exercises, follow the protocol: write My idea first, then compare with the answer, then rewrite until independent.</t>
  </si>
  <si>
    <t>5. C1 review is generated automatically as “exercise actual completion date + 2 days”.</t>
  </si>
  <si>
    <t>6. Daily Log is for daily check-ins; Unit Plan is for tracking Chapter 6 by unit.</t>
  </si>
  <si>
    <t>Suggested check-in order</t>
  </si>
  <si>
    <t>First update status and times in Unit Plan, then add your daily reflection in Daily Log.</t>
  </si>
  <si>
    <t>If a problem is not independently reproducible that day, keep Status as Doing Exercises and update Reproduce level to the current stage.</t>
  </si>
  <si>
    <t>A Summary unit is complete when you can explain the core relationship map / counterexample bank in your own words.</t>
  </si>
  <si>
    <t>Chapter 6 Study Check-in Plan</t>
  </si>
  <si>
    <t>Start Date (linked)</t>
  </si>
  <si>
    <t>edit in Protocol</t>
  </si>
  <si>
    <t>Protocol</t>
  </si>
  <si>
    <t>Read first, then do exercises; plan at most one exercise problem per day.</t>
  </si>
  <si>
    <t>Unit ID</t>
  </si>
  <si>
    <t>Suggested Seq</t>
  </si>
  <si>
    <t>Type</t>
  </si>
  <si>
    <t>Chapter Part</t>
  </si>
  <si>
    <t>Topic / Task</t>
  </si>
  <si>
    <t>Goal</t>
  </si>
  <si>
    <t>Suggested Day</t>
  </si>
  <si>
    <t>Suggested Date</t>
  </si>
  <si>
    <t>Plan Read (min)</t>
  </si>
  <si>
    <t>Plan Ex (min)</t>
  </si>
  <si>
    <t>Read Start</t>
  </si>
  <si>
    <t>Read End</t>
  </si>
  <si>
    <t>Read Min</t>
  </si>
  <si>
    <t>Ex Start</t>
  </si>
  <si>
    <t>Ex End</t>
  </si>
  <si>
    <t>Ex Min</t>
  </si>
  <si>
    <t>Status</t>
  </si>
  <si>
    <t>C1 Due</t>
  </si>
  <si>
    <t>C1 Done?</t>
  </si>
  <si>
    <t>Link/Ref</t>
  </si>
  <si>
    <t>R1</t>
  </si>
  <si>
    <t>6.1</t>
  </si>
  <si>
    <t>Almost Sure Convergence</t>
  </si>
  <si>
    <t>Definitions, exception set, a.s. equality, and limsup/liminf intuition</t>
  </si>
  <si>
    <t>No</t>
  </si>
  <si>
    <t>R2</t>
  </si>
  <si>
    <t>6.2</t>
  </si>
  <si>
    <t>Convergence in Probability + 6.2.1</t>
  </si>
  <si>
    <t>Match a.s. vs i.p. with weak/strong consistency</t>
  </si>
  <si>
    <t>R3</t>
  </si>
  <si>
    <t>6.3(a)</t>
  </si>
  <si>
    <t>Cauchy in Probability</t>
  </si>
  <si>
    <t>Internalize the proof skeleton for “convergence in probability = Cauchy in probability”</t>
  </si>
  <si>
    <t>R4</t>
  </si>
  <si>
    <t>6.3(b)</t>
  </si>
  <si>
    <t>Subsequence Criterion + Continuous Mapping</t>
  </si>
  <si>
    <t>Internalize “every subsequence has an a.s.-convergent subsubsequence”</t>
  </si>
  <si>
    <t>E01</t>
  </si>
  <si>
    <t>Exercise</t>
  </si>
  <si>
    <t>Ex 1</t>
  </si>
  <si>
    <t>Exercise 1 — Core convergence 1</t>
  </si>
  <si>
    <t>Foundational problem on definitions and criteria</t>
  </si>
  <si>
    <t>E12</t>
  </si>
  <si>
    <t>Ex 12</t>
  </si>
  <si>
    <t>Exercise 12 — Core convergence 1</t>
  </si>
  <si>
    <t>E17</t>
  </si>
  <si>
    <t>Ex 17</t>
  </si>
  <si>
    <t>Exercise 17 — Core convergence 2</t>
  </si>
  <si>
    <t>Basic property: discrete case / event comparison / distance idea</t>
  </si>
  <si>
    <t>E19</t>
  </si>
  <si>
    <t>Ex 19</t>
  </si>
  <si>
    <t>Exercise 19 — Core convergence 2</t>
  </si>
  <si>
    <t>E21</t>
  </si>
  <si>
    <t>Ex 21</t>
  </si>
  <si>
    <t>Exercise 21 — Core convergence 2</t>
  </si>
  <si>
    <t>E24</t>
  </si>
  <si>
    <t>Ex 24</t>
  </si>
  <si>
    <t>Exercise 24 — Subsequence / mapping / metric</t>
  </si>
  <si>
    <t>Apply the core ideas of Section 6.3</t>
  </si>
  <si>
    <t>E25</t>
  </si>
  <si>
    <t>Ex 25</t>
  </si>
  <si>
    <t>Exercise 25 — Subsequence / mapping / metric</t>
  </si>
  <si>
    <t>S1</t>
  </si>
  <si>
    <t>Summary</t>
  </si>
  <si>
    <t>Summary Block 1</t>
  </si>
  <si>
    <t>Draw the relationship map: a.s. / i.p. / subsequence / continuous mapping</t>
  </si>
  <si>
    <t>R5</t>
  </si>
  <si>
    <t>6.4</t>
  </si>
  <si>
    <t>Quantile Estimation</t>
  </si>
  <si>
    <t>Understand why quantile consistency is a natural application</t>
  </si>
  <si>
    <t>R6</t>
  </si>
  <si>
    <t>6.5</t>
  </si>
  <si>
    <t>L_p Convergence</t>
  </si>
  <si>
    <t>Remember the definition, strength relations, and standard counterexamples</t>
  </si>
  <si>
    <t>R7</t>
  </si>
  <si>
    <t>6.5.1</t>
  </si>
  <si>
    <t>Uniform Integrability</t>
  </si>
  <si>
    <t>First aim to use it: why UI is the bridge</t>
  </si>
  <si>
    <t>R8</t>
  </si>
  <si>
    <t>6.5.2</t>
  </si>
  <si>
    <t>Inequalities Review</t>
  </si>
  <si>
    <t>How Schwarz / Hölder / Minkowski are used later</t>
  </si>
  <si>
    <t>R9</t>
  </si>
  <si>
    <t>6.6 (part 1)</t>
  </si>
  <si>
    <t>More on L_p Convergence I</t>
  </si>
  <si>
    <t>First master the L1 version and key lemma</t>
  </si>
  <si>
    <t>R10</t>
  </si>
  <si>
    <t>6.6 (part 2)</t>
  </si>
  <si>
    <t>More on L_p Convergence II</t>
  </si>
  <si>
    <t>Clarify the bridges among Lp-Cauchy, UI, and convergence in probability</t>
  </si>
  <si>
    <t>E02</t>
  </si>
  <si>
    <t>Ex 2</t>
  </si>
  <si>
    <t>Exercise 2 — Means and second moments</t>
  </si>
  <si>
    <t>Connect convergence notions with averaging and L2</t>
  </si>
  <si>
    <t>E04</t>
  </si>
  <si>
    <t>Ex 4</t>
  </si>
  <si>
    <t>Exercise 4 — Means and second moments</t>
  </si>
  <si>
    <t>E05</t>
  </si>
  <si>
    <t>Ex 5</t>
  </si>
  <si>
    <t>Exercise 5 — UI basics</t>
  </si>
  <si>
    <t>Basic UI practice: is a family uniformly integrable?</t>
  </si>
  <si>
    <t>E06</t>
  </si>
  <si>
    <t>Ex 6</t>
  </si>
  <si>
    <t>Exercise 6 — UI basics</t>
  </si>
  <si>
    <t>E08</t>
  </si>
  <si>
    <t>Ex 8</t>
  </si>
  <si>
    <t>Exercise 8 — UI basics</t>
  </si>
  <si>
    <t>E03</t>
  </si>
  <si>
    <t>Ex 3</t>
  </si>
  <si>
    <t>Exercise 3 — Inequalities + UI tests</t>
  </si>
  <si>
    <t>Practice the estimation tools until fluent</t>
  </si>
  <si>
    <t>E09</t>
  </si>
  <si>
    <t>Ex 9</t>
  </si>
  <si>
    <t>Exercise 9 — Inequalities + UI tests</t>
  </si>
  <si>
    <t>E10</t>
  </si>
  <si>
    <t>Ex 10</t>
  </si>
  <si>
    <t>Exercise 10 — Inequalities + UI tests</t>
  </si>
  <si>
    <t>E15</t>
  </si>
  <si>
    <t>Ex 15</t>
  </si>
  <si>
    <t>Exercise 15 — L_p basics</t>
  </si>
  <si>
    <t>See clearly what Lp, averaging, and scaling do and do not imply</t>
  </si>
  <si>
    <t>E16</t>
  </si>
  <si>
    <t>Ex 16</t>
  </si>
  <si>
    <t>Exercise 16 — L_p basics</t>
  </si>
  <si>
    <t>E18</t>
  </si>
  <si>
    <t>Ex 18</t>
  </si>
  <si>
    <t>Exercise 18 — L_p basics</t>
  </si>
  <si>
    <t>E20</t>
  </si>
  <si>
    <t>Ex 20</t>
  </si>
  <si>
    <t>Exercise 20 — Moment / tail / probability</t>
  </si>
  <si>
    <t>Connect moment control with probability control</t>
  </si>
  <si>
    <t>E22</t>
  </si>
  <si>
    <t>Ex 22</t>
  </si>
  <si>
    <t>Exercise 22 — Moment / tail / probability</t>
  </si>
  <si>
    <t>E30</t>
  </si>
  <si>
    <t>Ex 30</t>
  </si>
  <si>
    <t>Exercise 30 — Moment / tail / probability</t>
  </si>
  <si>
    <t>E11</t>
  </si>
  <si>
    <t>Ex 11</t>
  </si>
  <si>
    <t>Exercise 11 — Maxima / extremes style</t>
  </si>
  <si>
    <t>Tail behavior and extreme-value style probability estimates</t>
  </si>
  <si>
    <t>E13</t>
  </si>
  <si>
    <t>Ex 13</t>
  </si>
  <si>
    <t>Exercise 13 — Maxima / extremes style</t>
  </si>
  <si>
    <t>E14</t>
  </si>
  <si>
    <t>Ex 14</t>
  </si>
  <si>
    <t>Exercise 14 — Maxima / extremes style</t>
  </si>
  <si>
    <t>E26</t>
  </si>
  <si>
    <t>Ex 26</t>
  </si>
  <si>
    <t>Exercise 26 — Advanced L_p / UI examples</t>
  </si>
  <si>
    <t>Counterexample bank plus structure problem</t>
  </si>
  <si>
    <t>E27</t>
  </si>
  <si>
    <t>Ex 27</t>
  </si>
  <si>
    <t>Exercise 27 — Advanced L_p / UI examples</t>
  </si>
  <si>
    <t>E28</t>
  </si>
  <si>
    <t>Ex 28</t>
  </si>
  <si>
    <t>Exercise 28 — Advanced L_p / UI examples</t>
  </si>
  <si>
    <t>E23</t>
  </si>
  <si>
    <t>Ex 23</t>
  </si>
  <si>
    <t>Exercise 23 — Mixed advanced</t>
  </si>
  <si>
    <t>Constructed example / triangular-array / mixed-tool problem</t>
  </si>
  <si>
    <t>E29</t>
  </si>
  <si>
    <t>Ex 29</t>
  </si>
  <si>
    <t>Exercise 29 — Mixed advanced</t>
  </si>
  <si>
    <t>E33</t>
  </si>
  <si>
    <t>Ex 33</t>
  </si>
  <si>
    <t>Exercise 33 — Mixed advanced</t>
  </si>
  <si>
    <t>E31</t>
  </si>
  <si>
    <t>Ex 31</t>
  </si>
  <si>
    <t>Exercise 31 — Statistics-flavored</t>
  </si>
  <si>
    <t>Connect median / central value with convergence notions</t>
  </si>
  <si>
    <t>E32</t>
  </si>
  <si>
    <t>Ex 32</t>
  </si>
  <si>
    <t>Exercise 32 — Statistics-flavored</t>
  </si>
  <si>
    <t>S2</t>
  </si>
  <si>
    <t>Summary Block 2 + Big Picture</t>
  </si>
  <si>
    <t>Summarize the relationship map among L_p, UI, and moment convergence</t>
  </si>
  <si>
    <t>Exercise Map for Chapter 6</t>
  </si>
  <si>
    <t>One exercise row = one problem. This matches the “max 1 problem per day” rule.</t>
  </si>
  <si>
    <t>Topic Cluster</t>
  </si>
  <si>
    <t>Why this set matters</t>
  </si>
  <si>
    <t>Priority</t>
  </si>
  <si>
    <t>Suggested after</t>
  </si>
  <si>
    <t>Done?</t>
  </si>
  <si>
    <t>Core convergence 1</t>
  </si>
  <si>
    <t>High</t>
  </si>
  <si>
    <t>Yes</t>
  </si>
  <si>
    <t>Core convergence 2</t>
  </si>
  <si>
    <t>Subsequence / mapping / metric</t>
  </si>
  <si>
    <t>Means and second moments</t>
  </si>
  <si>
    <t>Medium</t>
  </si>
  <si>
    <t>UI basics</t>
  </si>
  <si>
    <t>Inequalities + UI tests</t>
  </si>
  <si>
    <t>L_p basics</t>
  </si>
  <si>
    <t>Moment / tail / probability</t>
  </si>
  <si>
    <t>Maxima / extremes style</t>
  </si>
  <si>
    <t>Advanced L_p / UI examples</t>
  </si>
  <si>
    <t>Mixed advanced</t>
  </si>
  <si>
    <t>Statistics-flavored</t>
  </si>
  <si>
    <t>Daily Check-in Log</t>
  </si>
  <si>
    <t>Use one row per day. This sheet is for reflections; Unit Plan remains the source of truth for timings.</t>
  </si>
  <si>
    <t>Date</t>
  </si>
  <si>
    <t>Day #</t>
  </si>
  <si>
    <t>Units touched</t>
  </si>
  <si>
    <t>Read min</t>
  </si>
  <si>
    <t>Ex min</t>
  </si>
  <si>
    <t>Actual total min</t>
  </si>
  <si>
    <t>Big takeaway</t>
  </si>
  <si>
    <t>Blocker</t>
  </si>
  <si>
    <t>Next action</t>
  </si>
  <si>
    <t>Mood / energy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</si>
</sst>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\-mm\-dd"/>
    <numFmt numFmtId="177" formatCode="yyyy\-mm\-dd\ hh:mm"/>
    <numFmt numFmtId="178" formatCode="0.0%"/>
  </numFmts>
  <fonts count="29">
    <font>
      <sz val="11"/>
      <color theme="1"/>
      <name val="Calibri"/>
      <charset val="134"/>
      <scheme val="minor"/>
    </font>
    <font>
      <b/>
      <sz val="15"/>
      <name val="Calibri"/>
      <charset val="134"/>
    </font>
    <font>
      <i/>
      <sz val="11"/>
      <color rgb="FF7030A0"/>
      <name val="Calibri"/>
      <charset val="134"/>
    </font>
    <font>
      <b/>
      <sz val="11"/>
      <color rgb="FFFFFFFF"/>
      <name val="Calibri"/>
      <charset val="134"/>
    </font>
    <font>
      <sz val="11"/>
      <color rgb="FF0000FF"/>
      <name val="Calibri"/>
      <charset val="134"/>
    </font>
    <font>
      <sz val="11"/>
      <color rgb="FF008000"/>
      <name val="Calibri"/>
      <charset val="134"/>
    </font>
    <font>
      <sz val="11"/>
      <color rgb="FF000000"/>
      <name val="Calibri"/>
      <charset val="134"/>
    </font>
    <font>
      <sz val="11"/>
      <color rgb="FF666666"/>
      <name val="Calibri"/>
      <charset val="134"/>
    </font>
    <font>
      <b/>
      <sz val="11"/>
      <name val="Calibri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0000"/>
      <name val="Calibri"/>
      <charset val="1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 style="medium">
        <color rgb="FF1F4E78"/>
      </top>
      <bottom style="thin">
        <color rgb="FFD0D0D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0"/>
    <xf numFmtId="0" fontId="1" fillId="0" borderId="0" xfId="49" applyFont="1"/>
    <xf numFmtId="0" fontId="2" fillId="0" borderId="0" xfId="49" applyFont="1"/>
    <xf numFmtId="0" fontId="3" fillId="2" borderId="0" xfId="49" applyFont="1" applyFill="1" applyAlignment="1">
      <alignment horizontal="center" vertical="center"/>
    </xf>
    <xf numFmtId="176" fontId="4" fillId="3" borderId="1" xfId="49" applyNumberFormat="1" applyFont="1" applyFill="1" applyBorder="1" applyAlignment="1">
      <alignment horizontal="center" vertical="center"/>
    </xf>
    <xf numFmtId="1" fontId="5" fillId="4" borderId="1" xfId="49" applyNumberFormat="1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left" vertical="center" wrapText="1"/>
    </xf>
    <xf numFmtId="1" fontId="4" fillId="3" borderId="1" xfId="49" applyNumberFormat="1" applyFont="1" applyFill="1" applyBorder="1" applyAlignment="1">
      <alignment horizontal="center" vertical="center"/>
    </xf>
    <xf numFmtId="1" fontId="6" fillId="4" borderId="1" xfId="49" applyNumberFormat="1" applyFont="1" applyFill="1" applyBorder="1" applyAlignment="1">
      <alignment horizontal="center" vertical="center"/>
    </xf>
    <xf numFmtId="0" fontId="0" fillId="0" borderId="1" xfId="49" applyBorder="1" applyAlignment="1">
      <alignment horizontal="center" vertical="center"/>
    </xf>
    <xf numFmtId="0" fontId="0" fillId="0" borderId="1" xfId="49" applyBorder="1" applyAlignment="1">
      <alignment horizontal="left" vertical="center" wrapText="1"/>
    </xf>
    <xf numFmtId="0" fontId="4" fillId="3" borderId="1" xfId="49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5" borderId="0" xfId="49" applyFont="1" applyFill="1"/>
    <xf numFmtId="49" fontId="5" fillId="4" borderId="0" xfId="49" applyNumberFormat="1" applyFont="1" applyFill="1"/>
    <xf numFmtId="0" fontId="3" fillId="2" borderId="2" xfId="49" applyFont="1" applyFill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/>
    </xf>
    <xf numFmtId="0" fontId="7" fillId="0" borderId="1" xfId="49" applyFont="1" applyBorder="1" applyAlignment="1">
      <alignment horizontal="left" vertical="center" wrapText="1"/>
    </xf>
    <xf numFmtId="0" fontId="4" fillId="0" borderId="1" xfId="49" applyFont="1" applyBorder="1" applyAlignment="1">
      <alignment horizontal="center" vertical="center"/>
    </xf>
    <xf numFmtId="176" fontId="5" fillId="4" borderId="1" xfId="49" applyNumberFormat="1" applyFont="1" applyFill="1" applyBorder="1" applyAlignment="1">
      <alignment horizontal="center" vertical="center"/>
    </xf>
    <xf numFmtId="0" fontId="7" fillId="6" borderId="1" xfId="49" applyFont="1" applyFill="1" applyBorder="1" applyAlignment="1">
      <alignment horizontal="center" vertical="center"/>
    </xf>
    <xf numFmtId="0" fontId="7" fillId="6" borderId="1" xfId="49" applyFont="1" applyFill="1" applyBorder="1" applyAlignment="1">
      <alignment horizontal="left" vertical="center" wrapText="1"/>
    </xf>
    <xf numFmtId="0" fontId="4" fillId="6" borderId="1" xfId="49" applyFont="1" applyFill="1" applyBorder="1" applyAlignment="1">
      <alignment horizontal="center" vertical="center"/>
    </xf>
    <xf numFmtId="177" fontId="0" fillId="3" borderId="1" xfId="49" applyNumberFormat="1" applyFill="1" applyBorder="1" applyAlignment="1">
      <alignment horizontal="center" vertical="center"/>
    </xf>
    <xf numFmtId="1" fontId="6" fillId="6" borderId="1" xfId="49" applyNumberFormat="1" applyFont="1" applyFill="1" applyBorder="1" applyAlignment="1">
      <alignment horizontal="center" vertical="center"/>
    </xf>
    <xf numFmtId="177" fontId="0" fillId="6" borderId="1" xfId="49" applyNumberFormat="1" applyFill="1" applyBorder="1" applyAlignment="1">
      <alignment horizontal="center" vertical="center"/>
    </xf>
    <xf numFmtId="0" fontId="0" fillId="3" borderId="1" xfId="49" applyFill="1" applyBorder="1" applyAlignment="1">
      <alignment horizontal="center" vertical="center"/>
    </xf>
    <xf numFmtId="176" fontId="6" fillId="4" borderId="1" xfId="49" applyNumberFormat="1" applyFont="1" applyFill="1" applyBorder="1" applyAlignment="1">
      <alignment horizontal="center" vertical="center"/>
    </xf>
    <xf numFmtId="0" fontId="0" fillId="3" borderId="1" xfId="49" applyFill="1" applyBorder="1" applyAlignment="1">
      <alignment horizontal="left" vertical="center" wrapText="1"/>
    </xf>
    <xf numFmtId="0" fontId="0" fillId="7" borderId="1" xfId="49" applyFill="1" applyBorder="1" applyAlignment="1">
      <alignment horizontal="center" vertical="center"/>
    </xf>
    <xf numFmtId="0" fontId="0" fillId="6" borderId="1" xfId="49" applyFill="1" applyBorder="1" applyAlignment="1">
      <alignment horizontal="center" vertical="center"/>
    </xf>
    <xf numFmtId="0" fontId="4" fillId="3" borderId="0" xfId="49" applyFont="1" applyFill="1"/>
    <xf numFmtId="176" fontId="4" fillId="3" borderId="0" xfId="49" applyNumberFormat="1" applyFont="1" applyFill="1"/>
    <xf numFmtId="0" fontId="3" fillId="8" borderId="0" xfId="49" applyFont="1" applyFill="1"/>
    <xf numFmtId="0" fontId="0" fillId="0" borderId="0" xfId="49" applyAlignment="1">
      <alignment horizontal="left" vertical="center" wrapText="1"/>
    </xf>
    <xf numFmtId="0" fontId="8" fillId="9" borderId="0" xfId="49" applyFont="1" applyFill="1" applyAlignment="1">
      <alignment horizontal="center" vertical="center"/>
    </xf>
    <xf numFmtId="49" fontId="6" fillId="4" borderId="0" xfId="49" applyNumberFormat="1" applyFont="1" applyFill="1" applyAlignment="1">
      <alignment horizontal="center" vertical="center"/>
    </xf>
    <xf numFmtId="1" fontId="6" fillId="4" borderId="0" xfId="49" applyNumberFormat="1" applyFont="1" applyFill="1" applyAlignment="1">
      <alignment horizontal="center" vertical="center"/>
    </xf>
    <xf numFmtId="178" fontId="6" fillId="9" borderId="0" xfId="49" applyNumberFormat="1" applyFont="1" applyFill="1" applyAlignment="1">
      <alignment horizontal="center" vertical="center"/>
    </xf>
    <xf numFmtId="0" fontId="0" fillId="0" borderId="0" xfId="49" applyAlignment="1">
      <alignment horizontal="center" vertical="center"/>
    </xf>
    <xf numFmtId="0" fontId="3" fillId="8" borderId="0" xfId="49" applyFont="1" applyFill="1" applyAlignment="1">
      <alignment horizontal="center" vertical="center"/>
    </xf>
    <xf numFmtId="0" fontId="0" fillId="9" borderId="1" xfId="49" applyFill="1" applyBorder="1" applyAlignment="1">
      <alignment horizontal="left" vertical="center" wrapText="1"/>
    </xf>
    <xf numFmtId="0" fontId="0" fillId="4" borderId="1" xfId="49" applyFill="1" applyBorder="1" applyAlignment="1">
      <alignment horizontal="center" vertical="center"/>
    </xf>
    <xf numFmtId="0" fontId="0" fillId="7" borderId="1" xfId="49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2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E2F0D9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352425</xdr:colOff>
      <xdr:row>42</xdr:row>
      <xdr:rowOff>152400</xdr:rowOff>
    </xdr:to>
    <xdr:sp>
      <xdr:nvSpPr>
        <xdr:cNvPr id="1027" name="Text Box 3" hidden="1"/>
        <xdr:cNvSpPr txBox="1">
          <a:spLocks noSelect="1" noChangeArrowheads="1"/>
        </xdr:cNvSpPr>
      </xdr:nvSpPr>
      <xdr:spPr>
        <a:xfrm>
          <a:off x="0" y="0"/>
          <a:ext cx="9486900" cy="9565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352425</xdr:colOff>
      <xdr:row>42</xdr:row>
      <xdr:rowOff>152400</xdr:rowOff>
    </xdr:to>
    <xdr:sp>
      <xdr:nvSpPr>
        <xdr:cNvPr id="2" name="AutoShape 3"/>
        <xdr:cNvSpPr>
          <a:spLocks noChangeArrowheads="1"/>
        </xdr:cNvSpPr>
      </xdr:nvSpPr>
      <xdr:spPr>
        <a:xfrm>
          <a:off x="0" y="0"/>
          <a:ext cx="9486900" cy="9565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352425</xdr:colOff>
      <xdr:row>42</xdr:row>
      <xdr:rowOff>152400</xdr:rowOff>
    </xdr:to>
    <xdr:sp>
      <xdr:nvSpPr>
        <xdr:cNvPr id="3" name="AutoShape 3"/>
        <xdr:cNvSpPr>
          <a:spLocks noChangeArrowheads="1"/>
        </xdr:cNvSpPr>
      </xdr:nvSpPr>
      <xdr:spPr>
        <a:xfrm>
          <a:off x="0" y="0"/>
          <a:ext cx="9486900" cy="9565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123825</xdr:colOff>
      <xdr:row>32</xdr:row>
      <xdr:rowOff>57150</xdr:rowOff>
    </xdr:to>
    <xdr:sp>
      <xdr:nvSpPr>
        <xdr:cNvPr id="2050" name="Text Box 2" hidden="1"/>
        <xdr:cNvSpPr txBox="1">
          <a:spLocks noSelect="1" noChangeArrowheads="1"/>
        </xdr:cNvSpPr>
      </xdr:nvSpPr>
      <xdr:spPr>
        <a:xfrm>
          <a:off x="0" y="0"/>
          <a:ext cx="9525000" cy="9534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123825</xdr:colOff>
      <xdr:row>32</xdr:row>
      <xdr:rowOff>57150</xdr:rowOff>
    </xdr:to>
    <xdr:sp>
      <xdr:nvSpPr>
        <xdr:cNvPr id="2" name="AutoShape 2"/>
        <xdr:cNvSpPr>
          <a:spLocks noChangeArrowheads="1"/>
        </xdr:cNvSpPr>
      </xdr:nvSpPr>
      <xdr:spPr>
        <a:xfrm>
          <a:off x="0" y="0"/>
          <a:ext cx="9525000" cy="9534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123825</xdr:colOff>
      <xdr:row>32</xdr:row>
      <xdr:rowOff>57150</xdr:rowOff>
    </xdr:to>
    <xdr:sp>
      <xdr:nvSpPr>
        <xdr:cNvPr id="3" name="AutoShape 2"/>
        <xdr:cNvSpPr>
          <a:spLocks noChangeArrowheads="1"/>
        </xdr:cNvSpPr>
      </xdr:nvSpPr>
      <xdr:spPr>
        <a:xfrm>
          <a:off x="0" y="0"/>
          <a:ext cx="9525000" cy="9534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</xdr:wsDr>
</file>

<file path=xl/tables/table1.xml><?xml version="1.0" encoding="utf-8"?>
<table xmlns="http://schemas.openxmlformats.org/spreadsheetml/2006/main" id="1" name="UnitPlanTable" displayName="UnitPlanTable" ref="A4:V48">
  <autoFilter ref="A4:V48"/>
  <tableColumns count="22">
    <tableColumn id="1" name="Unit ID"/>
    <tableColumn id="2" name="Suggested Seq"/>
    <tableColumn id="3" name="Type"/>
    <tableColumn id="4" name="Chapter Part"/>
    <tableColumn id="5" name="Topic / Task"/>
    <tableColumn id="6" name="Goal" dataDxfId="0"/>
    <tableColumn id="7" name="Suggested Day" dataDxfId="1"/>
    <tableColumn id="8" name="Suggested Date" dataDxfId="2"/>
    <tableColumn id="9" name="Plan Read (min)" dataDxfId="3"/>
    <tableColumn id="10" name="Plan Ex (min)" dataDxfId="4"/>
    <tableColumn id="11" name="Read Start" dataDxfId="5"/>
    <tableColumn id="12" name="Read End" dataDxfId="6"/>
    <tableColumn id="13" name="Read Min" dataDxfId="7"/>
    <tableColumn id="14" name="Ex Start" dataDxfId="8"/>
    <tableColumn id="15" name="Ex End" dataDxfId="9"/>
    <tableColumn id="16" name="Ex Min" dataDxfId="10"/>
    <tableColumn id="17" name="Status" dataDxfId="11"/>
    <tableColumn id="18" name="C1 Due" dataDxfId="12"/>
    <tableColumn id="19" name="C1 Done?" dataDxfId="13"/>
    <tableColumn id="20" name="Reproduce level" dataDxfId="14"/>
    <tableColumn id="21" name="Notes" dataDxfId="15"/>
    <tableColumn id="22" name="Link/Ref" dataDxfId="1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ExerciseMapTable" displayName="ExerciseMapTable" ref="A3:G35">
  <autoFilter ref="A3:G35"/>
  <tableColumns count="7">
    <tableColumn id="1" name="Unit ID"/>
    <tableColumn id="2" name="Exercises"/>
    <tableColumn id="3" name="Topic Cluster"/>
    <tableColumn id="4" name="Why this set matters"/>
    <tableColumn id="5" name="Priority"/>
    <tableColumn id="6" name="Suggested after"/>
    <tableColumn id="7" name="Done?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DailyLogTable" displayName="DailyLogTable" ref="A4:J64">
  <autoFilter ref="A4:J64"/>
  <tableColumns count="10">
    <tableColumn id="1" name="Date"/>
    <tableColumn id="2" name="Day #"/>
    <tableColumn id="3" name="Units touched"/>
    <tableColumn id="4" name="Read min"/>
    <tableColumn id="5" name="Ex min"/>
    <tableColumn id="6" name="Actual total min"/>
    <tableColumn id="7" name="Big takeaway"/>
    <tableColumn id="8" name="Blocker"/>
    <tableColumn id="9" name="Next action"/>
    <tableColumn id="10" name="Mood / energ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workbookViewId="0">
      <selection activeCell="A1" sqref="A1:D1"/>
    </sheetView>
  </sheetViews>
  <sheetFormatPr defaultColWidth="9" defaultRowHeight="15" outlineLevelCol="3"/>
  <cols>
    <col min="1" max="1" width="20" customWidth="1"/>
    <col min="2" max="3" width="14" customWidth="1"/>
    <col min="4" max="4" width="34" customWidth="1"/>
  </cols>
  <sheetData>
    <row r="1" ht="24" customHeight="1" spans="1:1">
      <c r="A1" s="1" t="s">
        <v>0</v>
      </c>
    </row>
    <row r="2" ht="24" customHeight="1"/>
    <row r="3" ht="24" customHeight="1" spans="1:4">
      <c r="A3" s="3" t="s">
        <v>1</v>
      </c>
      <c r="B3" s="3" t="s">
        <v>2</v>
      </c>
      <c r="C3" s="3" t="s">
        <v>1</v>
      </c>
      <c r="D3" s="3" t="s">
        <v>2</v>
      </c>
    </row>
    <row r="4" ht="24" customHeight="1" spans="1:4">
      <c r="A4" s="36" t="s">
        <v>3</v>
      </c>
      <c r="B4" s="37" t="s">
        <v>4</v>
      </c>
      <c r="C4" s="36" t="s">
        <v>5</v>
      </c>
      <c r="D4" s="38">
        <f>COUNTIFS('Unit Plan'!R5:R48,"&gt;0",'Unit Plan'!S5:S48,"&lt;&gt;Yes")</f>
        <v>30</v>
      </c>
    </row>
    <row r="5" ht="24" customHeight="1" spans="1:4">
      <c r="A5" s="36" t="s">
        <v>6</v>
      </c>
      <c r="B5" s="38">
        <f>COUNTA('Unit Plan'!A5:A48)</f>
        <v>44</v>
      </c>
      <c r="C5" s="36" t="s">
        <v>7</v>
      </c>
      <c r="D5" s="38">
        <f>COUNTIF('Unit Plan'!T5:T48,"Independent")</f>
        <v>0</v>
      </c>
    </row>
    <row r="6" ht="24" customHeight="1" spans="1:4">
      <c r="A6" s="36" t="s">
        <v>8</v>
      </c>
      <c r="B6" s="38">
        <f>COUNTIF('Unit Plan'!Q5:Q48,"Completed")</f>
        <v>43</v>
      </c>
      <c r="C6" s="36" t="s">
        <v>9</v>
      </c>
      <c r="D6" s="38" t="str">
        <f>IFERROR(AVERAGE('Unit Plan'!M5:M48),"")</f>
        <v/>
      </c>
    </row>
    <row r="7" ht="24" customHeight="1" spans="1:4">
      <c r="A7" s="36" t="s">
        <v>10</v>
      </c>
      <c r="B7" s="38">
        <f>COUNTIFS('Unit Plan'!C5:C48,"Reading",'Unit Plan'!L5:L48,"&lt;&gt;")</f>
        <v>0</v>
      </c>
      <c r="C7" s="36" t="s">
        <v>11</v>
      </c>
      <c r="D7" s="38">
        <f>IFERROR(AVERAGE('Unit Plan'!P5:P48),"")</f>
        <v>171.99999999837</v>
      </c>
    </row>
    <row r="8" ht="24" customHeight="1" spans="1:4">
      <c r="A8" s="36" t="s">
        <v>12</v>
      </c>
      <c r="B8" s="38">
        <f>COUNTIFS('Unit Plan'!C5:C48,"Exercise",'Unit Plan'!O5:O48,"&lt;&gt;")</f>
        <v>30</v>
      </c>
      <c r="C8" s="36" t="s">
        <v>13</v>
      </c>
      <c r="D8" s="38">
        <f>COUNTIF('Daily Log'!A5:A64,"&lt;&gt;")</f>
        <v>6</v>
      </c>
    </row>
    <row r="9" ht="24" customHeight="1" spans="1:4">
      <c r="A9" s="36" t="s">
        <v>14</v>
      </c>
      <c r="B9" s="38">
        <f>COUNTIFS('Unit Plan'!C5:C28,"Summary",'Unit Plan'!L5:L28,"&lt;&gt;")</f>
        <v>0</v>
      </c>
      <c r="C9" s="36" t="s">
        <v>15</v>
      </c>
      <c r="D9" s="37" t="str">
        <f>IF(B6=B5,"All Completed","See Unit Plan")</f>
        <v>See Unit Plan</v>
      </c>
    </row>
    <row r="10" ht="24" customHeight="1" spans="1:4">
      <c r="A10" s="36" t="s">
        <v>16</v>
      </c>
      <c r="B10" s="39">
        <f>IF(B5=0,"",B6/B5)</f>
        <v>0.977272727272727</v>
      </c>
      <c r="C10" s="36" t="s">
        <v>17</v>
      </c>
      <c r="D10" s="37" t="str">
        <f>IF(B6=0,"","See Unit Plan")</f>
        <v>See Unit Plan</v>
      </c>
    </row>
    <row r="11" ht="24" customHeight="1" spans="1:4">
      <c r="A11" s="40"/>
      <c r="B11" s="40"/>
      <c r="C11" s="40"/>
      <c r="D11" s="40"/>
    </row>
    <row r="12" ht="24" customHeight="1" spans="1:4">
      <c r="A12" s="40"/>
      <c r="B12" s="40"/>
      <c r="C12" s="40"/>
      <c r="D12" s="40"/>
    </row>
    <row r="13" ht="24" customHeight="1" spans="1:1">
      <c r="A13" s="41" t="s">
        <v>18</v>
      </c>
    </row>
    <row r="14" ht="24" customHeight="1" spans="1:4">
      <c r="A14" s="3" t="s">
        <v>19</v>
      </c>
      <c r="B14" s="3" t="s">
        <v>20</v>
      </c>
      <c r="C14" s="3" t="s">
        <v>21</v>
      </c>
      <c r="D14" s="3" t="s">
        <v>22</v>
      </c>
    </row>
    <row r="15" ht="24" customHeight="1" spans="1:4">
      <c r="A15" s="42" t="s">
        <v>23</v>
      </c>
      <c r="B15" s="43">
        <f>COUNTIFS('Unit Plan'!D5:D28,"6.1")+COUNTIFS('Unit Plan'!D5:D28,"6.2")+COUNTIFS('Unit Plan'!D5:D28,"6.3(a)")+COUNTIFS('Unit Plan'!D5:D28,"6.3(b)")+COUNTIFS('Unit Plan'!D5:D28,"6.1–6.3")</f>
        <v>5</v>
      </c>
      <c r="C15" s="43">
        <f>COUNTIFS('Unit Plan'!Q5:Q28,"Completed",'Unit Plan'!D5:D28,"6.1")+COUNTIFS('Unit Plan'!Q5:Q28,"Completed",'Unit Plan'!D5:D28,"6.2")+COUNTIFS('Unit Plan'!Q5:Q28,"Completed",'Unit Plan'!D5:D28,"6.3(a)")+COUNTIFS('Unit Plan'!Q5:Q28,"Completed",'Unit Plan'!D5:D28,"6.3(b)")+COUNTIFS('Unit Plan'!Q5:Q28,"Completed",'Unit Plan'!D5:D28,"6.1–6.3")</f>
        <v>5</v>
      </c>
      <c r="D15" s="44" t="s">
        <v>24</v>
      </c>
    </row>
    <row r="16" ht="24" customHeight="1" spans="1:4">
      <c r="A16" s="42" t="s">
        <v>25</v>
      </c>
      <c r="B16" s="43">
        <f>COUNTIFS('Unit Plan'!D5:D28,"6.4")+COUNTIFS('Unit Plan'!D5:D28,"6.5")+COUNTIFS('Unit Plan'!D5:D28,"6.5.1")+COUNTIFS('Unit Plan'!D5:D28,"6.5.2")+COUNTIFS('Unit Plan'!D5:D28,"6.6 (part 1)")+COUNTIFS('Unit Plan'!D5:D28,"6.6 (part 2)")+COUNTIFS('Unit Plan'!D5:D28,"6.4–6.6")</f>
        <v>6</v>
      </c>
      <c r="C16" s="43">
        <f>COUNTIFS('Unit Plan'!Q5:Q28,"Completed",'Unit Plan'!D5:D28,"6.4")+COUNTIFS('Unit Plan'!Q5:Q28,"Completed",'Unit Plan'!D5:D28,"6.5")+COUNTIFS('Unit Plan'!Q5:Q28,"Completed",'Unit Plan'!D5:D28,"6.5.1")+COUNTIFS('Unit Plan'!Q5:Q28,"Completed",'Unit Plan'!D5:D28,"6.5.2")+COUNTIFS('Unit Plan'!Q5:Q28,"Completed",'Unit Plan'!D5:D28,"6.6 (part 1)")+COUNTIFS('Unit Plan'!Q5:Q28,"Completed",'Unit Plan'!D5:D28,"6.6 (part 2)")+COUNTIFS('Unit Plan'!Q5:Q28,"Completed",'Unit Plan'!D5:D28,"6.4–6.6")</f>
        <v>6</v>
      </c>
      <c r="D16" s="44" t="s">
        <v>26</v>
      </c>
    </row>
    <row r="17" ht="24" customHeight="1" spans="1:4">
      <c r="A17" s="42" t="s">
        <v>27</v>
      </c>
      <c r="B17" s="43">
        <f>COUNTIF('Unit Plan'!C5:C28,"Exercise")</f>
        <v>13</v>
      </c>
      <c r="C17" s="43">
        <f>COUNTIFS('Unit Plan'!C5:C28,"Exercise",'Unit Plan'!Q5:Q28,"Completed")</f>
        <v>13</v>
      </c>
      <c r="D17" s="44" t="s">
        <v>28</v>
      </c>
    </row>
  </sheetData>
  <mergeCells count="2">
    <mergeCell ref="A1:D1"/>
    <mergeCell ref="A13:D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B3" sqref="B3"/>
    </sheetView>
  </sheetViews>
  <sheetFormatPr defaultColWidth="9" defaultRowHeight="15"/>
  <cols>
    <col min="1" max="1" width="34" customWidth="1"/>
    <col min="2" max="2" width="15" customWidth="1"/>
    <col min="3" max="3" width="3" customWidth="1"/>
    <col min="4" max="4" width="20" customWidth="1"/>
    <col min="5" max="5" width="3" customWidth="1"/>
    <col min="6" max="6" width="20" customWidth="1"/>
    <col min="7" max="8" width="3" customWidth="1"/>
    <col min="10" max="11" width="13" hidden="1" customWidth="1"/>
  </cols>
  <sheetData>
    <row r="1" ht="21.95" customHeight="1" spans="1:11">
      <c r="A1" s="1" t="s">
        <v>29</v>
      </c>
      <c r="J1" t="s">
        <v>30</v>
      </c>
      <c r="K1" t="s">
        <v>31</v>
      </c>
    </row>
    <row r="2" ht="21.95" customHeight="1" spans="10:11">
      <c r="J2" t="s">
        <v>32</v>
      </c>
      <c r="K2" t="s">
        <v>33</v>
      </c>
    </row>
    <row r="3" ht="21.95" customHeight="1" spans="1:11">
      <c r="A3" s="32" t="s">
        <v>34</v>
      </c>
      <c r="B3" s="33">
        <v>46114</v>
      </c>
      <c r="D3" s="13" t="s">
        <v>35</v>
      </c>
      <c r="F3" s="13" t="s">
        <v>36</v>
      </c>
      <c r="J3" t="s">
        <v>37</v>
      </c>
      <c r="K3" t="s">
        <v>38</v>
      </c>
    </row>
    <row r="4" ht="21.95" customHeight="1" spans="4:11">
      <c r="D4" t="s">
        <v>30</v>
      </c>
      <c r="J4" t="s">
        <v>21</v>
      </c>
      <c r="K4" t="s">
        <v>39</v>
      </c>
    </row>
    <row r="5" ht="21.95" customHeight="1" spans="1:11">
      <c r="A5" s="34" t="s">
        <v>40</v>
      </c>
      <c r="J5" t="s">
        <v>41</v>
      </c>
      <c r="K5" t="s">
        <v>42</v>
      </c>
    </row>
    <row r="6" ht="21.95" customHeight="1" spans="1:1">
      <c r="A6" s="35" t="s">
        <v>43</v>
      </c>
    </row>
    <row r="7" ht="21.95" customHeight="1" spans="1:1">
      <c r="A7" s="35" t="s">
        <v>44</v>
      </c>
    </row>
    <row r="8" ht="21.95" customHeight="1" spans="1:1">
      <c r="A8" s="35" t="s">
        <v>45</v>
      </c>
    </row>
    <row r="9" ht="21.95" customHeight="1" spans="1:1">
      <c r="A9" s="35" t="s">
        <v>46</v>
      </c>
    </row>
    <row r="10" ht="21.95" customHeight="1" spans="1:1">
      <c r="A10" s="35" t="s">
        <v>47</v>
      </c>
    </row>
    <row r="11" ht="21.95" customHeight="1" spans="1:1">
      <c r="A11" s="35" t="s">
        <v>48</v>
      </c>
    </row>
    <row r="12" ht="21.95" customHeight="1"/>
    <row r="13" ht="21.95" customHeight="1" spans="1:1">
      <c r="A13" s="34" t="s">
        <v>49</v>
      </c>
    </row>
    <row r="14" ht="21.95" customHeight="1" spans="1:1">
      <c r="A14" s="35" t="s">
        <v>50</v>
      </c>
    </row>
    <row r="15" ht="21.95" customHeight="1" spans="1:1">
      <c r="A15" s="35" t="s">
        <v>51</v>
      </c>
    </row>
    <row r="16" ht="21.95" customHeight="1" spans="1:1">
      <c r="A16" s="35" t="s">
        <v>52</v>
      </c>
    </row>
  </sheetData>
  <mergeCells count="12">
    <mergeCell ref="A1:H1"/>
    <mergeCell ref="A5:H5"/>
    <mergeCell ref="A6:H6"/>
    <mergeCell ref="A7:H7"/>
    <mergeCell ref="A8:H8"/>
    <mergeCell ref="A9:H9"/>
    <mergeCell ref="A10:H10"/>
    <mergeCell ref="A11:H11"/>
    <mergeCell ref="A13:H13"/>
    <mergeCell ref="A14:H14"/>
    <mergeCell ref="A15:H15"/>
    <mergeCell ref="A16:H16"/>
  </mergeCells>
  <pageMargins left="0.7" right="0.7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8"/>
  <sheetViews>
    <sheetView showGridLines="0" tabSelected="1" topLeftCell="G37" workbookViewId="0">
      <selection activeCell="Q47" sqref="Q47"/>
    </sheetView>
  </sheetViews>
  <sheetFormatPr defaultColWidth="9" defaultRowHeight="15"/>
  <cols>
    <col min="1" max="1" width="10" customWidth="1"/>
    <col min="2" max="2" width="12" customWidth="1"/>
    <col min="3" max="3" width="11" customWidth="1"/>
    <col min="4" max="4" width="12" customWidth="1"/>
    <col min="5" max="5" width="28" customWidth="1"/>
    <col min="6" max="6" width="42" style="12" customWidth="1"/>
    <col min="7" max="7" width="12" customWidth="1"/>
    <col min="8" max="8" width="14" customWidth="1"/>
    <col min="9" max="10" width="12" customWidth="1"/>
    <col min="11" max="12" width="17" customWidth="1"/>
    <col min="13" max="13" width="10" customWidth="1"/>
    <col min="14" max="15" width="17" customWidth="1"/>
    <col min="16" max="16" width="10" customWidth="1"/>
    <col min="17" max="17" width="16" customWidth="1"/>
    <col min="18" max="18" width="12" customWidth="1"/>
    <col min="19" max="19" width="10" customWidth="1"/>
    <col min="20" max="20" width="18" customWidth="1"/>
    <col min="21" max="21" width="26" customWidth="1"/>
    <col min="22" max="22" width="18" customWidth="1"/>
  </cols>
  <sheetData>
    <row r="1" ht="19.5" spans="1:6">
      <c r="A1" s="1" t="s">
        <v>53</v>
      </c>
      <c r="F1"/>
    </row>
    <row r="2" spans="1:6">
      <c r="A2" s="13" t="s">
        <v>54</v>
      </c>
      <c r="B2" s="14" t="s">
        <v>55</v>
      </c>
      <c r="D2" s="13" t="s">
        <v>56</v>
      </c>
      <c r="E2" s="2" t="s">
        <v>57</v>
      </c>
      <c r="F2"/>
    </row>
    <row r="3" ht="15.75"/>
    <row r="4" ht="24" customHeight="1" spans="1:22">
      <c r="A4" s="15" t="s">
        <v>58</v>
      </c>
      <c r="B4" s="15" t="s">
        <v>59</v>
      </c>
      <c r="C4" s="15" t="s">
        <v>60</v>
      </c>
      <c r="D4" s="15" t="s">
        <v>61</v>
      </c>
      <c r="E4" s="15" t="s">
        <v>62</v>
      </c>
      <c r="F4" s="16" t="s">
        <v>63</v>
      </c>
      <c r="G4" s="15" t="s">
        <v>64</v>
      </c>
      <c r="H4" s="15" t="s">
        <v>65</v>
      </c>
      <c r="I4" s="15" t="s">
        <v>66</v>
      </c>
      <c r="J4" s="15" t="s">
        <v>67</v>
      </c>
      <c r="K4" s="15" t="s">
        <v>68</v>
      </c>
      <c r="L4" s="15" t="s">
        <v>69</v>
      </c>
      <c r="M4" s="15" t="s">
        <v>70</v>
      </c>
      <c r="N4" s="15" t="s">
        <v>71</v>
      </c>
      <c r="O4" s="15" t="s">
        <v>72</v>
      </c>
      <c r="P4" s="15" t="s">
        <v>73</v>
      </c>
      <c r="Q4" s="15" t="s">
        <v>74</v>
      </c>
      <c r="R4" s="15" t="s">
        <v>75</v>
      </c>
      <c r="S4" s="15" t="s">
        <v>76</v>
      </c>
      <c r="T4" s="15" t="s">
        <v>36</v>
      </c>
      <c r="U4" s="15" t="s">
        <v>22</v>
      </c>
      <c r="V4" s="15" t="s">
        <v>77</v>
      </c>
    </row>
    <row r="5" ht="24" customHeight="1" spans="1:22">
      <c r="A5" s="17" t="s">
        <v>78</v>
      </c>
      <c r="B5" s="17">
        <v>1</v>
      </c>
      <c r="C5" s="17" t="s">
        <v>32</v>
      </c>
      <c r="D5" s="17" t="s">
        <v>79</v>
      </c>
      <c r="E5" s="18" t="s">
        <v>80</v>
      </c>
      <c r="F5" s="18" t="s">
        <v>81</v>
      </c>
      <c r="G5" s="19">
        <v>1</v>
      </c>
      <c r="H5" s="20">
        <f>IF(Protocol!$B$3="","",Protocol!$B$3+G5-1)</f>
        <v>46114</v>
      </c>
      <c r="I5" s="19">
        <v>60</v>
      </c>
      <c r="J5" s="19"/>
      <c r="K5" s="24"/>
      <c r="L5" s="24"/>
      <c r="M5" s="8" t="str">
        <f t="shared" ref="M5:M48" si="0">IF(AND(K5&lt;&gt;"",L5&lt;&gt;""),(L5-K5)*1440,"")</f>
        <v/>
      </c>
      <c r="N5" s="24"/>
      <c r="O5" s="24"/>
      <c r="P5" s="8" t="str">
        <f t="shared" ref="P5:P48" si="1">IF(AND(N5&lt;&gt;"",O5&lt;&gt;""),(O5-N5)*1440,"")</f>
        <v/>
      </c>
      <c r="Q5" s="27" t="s">
        <v>21</v>
      </c>
      <c r="R5" s="28" t="str">
        <f t="shared" ref="R5:R48" si="2">IF(O5&lt;&gt;"",INT(O5)+2,"")</f>
        <v/>
      </c>
      <c r="S5" s="27" t="s">
        <v>82</v>
      </c>
      <c r="T5" s="27"/>
      <c r="U5" s="29"/>
      <c r="V5" s="29"/>
    </row>
    <row r="6" ht="24" customHeight="1" spans="1:22">
      <c r="A6" s="17" t="s">
        <v>83</v>
      </c>
      <c r="B6" s="17">
        <v>2</v>
      </c>
      <c r="C6" s="17" t="s">
        <v>32</v>
      </c>
      <c r="D6" s="17" t="s">
        <v>84</v>
      </c>
      <c r="E6" s="18" t="s">
        <v>85</v>
      </c>
      <c r="F6" s="18" t="s">
        <v>86</v>
      </c>
      <c r="G6" s="19">
        <v>2</v>
      </c>
      <c r="H6" s="20">
        <f>IF(Protocol!$B$3="","",Protocol!$B$3+G6-1)</f>
        <v>46115</v>
      </c>
      <c r="I6" s="19">
        <v>60</v>
      </c>
      <c r="J6" s="19"/>
      <c r="K6" s="24"/>
      <c r="L6" s="24"/>
      <c r="M6" s="8" t="str">
        <f t="shared" si="0"/>
        <v/>
      </c>
      <c r="N6" s="24"/>
      <c r="O6" s="24"/>
      <c r="P6" s="8" t="str">
        <f t="shared" si="1"/>
        <v/>
      </c>
      <c r="Q6" s="27" t="s">
        <v>21</v>
      </c>
      <c r="R6" s="28" t="str">
        <f t="shared" si="2"/>
        <v/>
      </c>
      <c r="S6" s="27" t="s">
        <v>82</v>
      </c>
      <c r="T6" s="27"/>
      <c r="U6" s="29"/>
      <c r="V6" s="29"/>
    </row>
    <row r="7" ht="24" customHeight="1" spans="1:22">
      <c r="A7" s="17" t="s">
        <v>87</v>
      </c>
      <c r="B7" s="17">
        <v>3</v>
      </c>
      <c r="C7" s="17" t="s">
        <v>32</v>
      </c>
      <c r="D7" s="17" t="s">
        <v>88</v>
      </c>
      <c r="E7" s="18" t="s">
        <v>89</v>
      </c>
      <c r="F7" s="18" t="s">
        <v>90</v>
      </c>
      <c r="G7" s="19">
        <v>3</v>
      </c>
      <c r="H7" s="20">
        <f>IF(Protocol!$B$3="","",Protocol!$B$3+G7-1)</f>
        <v>46116</v>
      </c>
      <c r="I7" s="19">
        <v>75</v>
      </c>
      <c r="J7" s="19"/>
      <c r="K7" s="24"/>
      <c r="L7" s="24"/>
      <c r="M7" s="8" t="str">
        <f t="shared" si="0"/>
        <v/>
      </c>
      <c r="N7" s="24"/>
      <c r="O7" s="24"/>
      <c r="P7" s="8" t="str">
        <f t="shared" si="1"/>
        <v/>
      </c>
      <c r="Q7" s="27" t="s">
        <v>21</v>
      </c>
      <c r="R7" s="28" t="str">
        <f t="shared" si="2"/>
        <v/>
      </c>
      <c r="S7" s="27" t="s">
        <v>82</v>
      </c>
      <c r="T7" s="27"/>
      <c r="U7" s="29"/>
      <c r="V7" s="29"/>
    </row>
    <row r="8" ht="24" customHeight="1" spans="1:22">
      <c r="A8" s="17" t="s">
        <v>91</v>
      </c>
      <c r="B8" s="17">
        <v>4</v>
      </c>
      <c r="C8" s="17" t="s">
        <v>32</v>
      </c>
      <c r="D8" s="17" t="s">
        <v>92</v>
      </c>
      <c r="E8" s="18" t="s">
        <v>93</v>
      </c>
      <c r="F8" s="18" t="s">
        <v>94</v>
      </c>
      <c r="G8" s="19">
        <v>4</v>
      </c>
      <c r="H8" s="20">
        <f>IF(Protocol!$B$3="","",Protocol!$B$3+G8-1)</f>
        <v>46117</v>
      </c>
      <c r="I8" s="19">
        <v>75</v>
      </c>
      <c r="J8" s="19"/>
      <c r="K8" s="24"/>
      <c r="L8" s="24"/>
      <c r="M8" s="8" t="str">
        <f t="shared" si="0"/>
        <v/>
      </c>
      <c r="N8" s="24"/>
      <c r="O8" s="24"/>
      <c r="P8" s="8" t="str">
        <f t="shared" si="1"/>
        <v/>
      </c>
      <c r="Q8" s="27" t="s">
        <v>21</v>
      </c>
      <c r="R8" s="28" t="str">
        <f t="shared" si="2"/>
        <v/>
      </c>
      <c r="S8" s="27" t="s">
        <v>82</v>
      </c>
      <c r="T8" s="27"/>
      <c r="U8" s="29"/>
      <c r="V8" s="29"/>
    </row>
    <row r="9" ht="24" customHeight="1" spans="1:22">
      <c r="A9" s="17" t="s">
        <v>95</v>
      </c>
      <c r="B9" s="17">
        <v>5</v>
      </c>
      <c r="C9" s="17" t="s">
        <v>96</v>
      </c>
      <c r="D9" s="17" t="s">
        <v>97</v>
      </c>
      <c r="E9" s="18" t="s">
        <v>98</v>
      </c>
      <c r="F9" s="18" t="s">
        <v>99</v>
      </c>
      <c r="G9" s="19">
        <v>5</v>
      </c>
      <c r="H9" s="20">
        <f>IF(Protocol!$B$3="","",Protocol!$B$3+G9-1)</f>
        <v>46118</v>
      </c>
      <c r="I9" s="19"/>
      <c r="J9" s="19">
        <v>60</v>
      </c>
      <c r="K9" s="24"/>
      <c r="L9" s="24"/>
      <c r="M9" s="8" t="str">
        <f t="shared" si="0"/>
        <v/>
      </c>
      <c r="N9" s="24">
        <v>46118.4166666667</v>
      </c>
      <c r="O9" s="24">
        <v>46118.75</v>
      </c>
      <c r="P9" s="8">
        <f t="shared" si="1"/>
        <v>479.999999951106</v>
      </c>
      <c r="Q9" s="30" t="s">
        <v>21</v>
      </c>
      <c r="R9" s="28">
        <f t="shared" si="2"/>
        <v>46120</v>
      </c>
      <c r="S9" s="27" t="s">
        <v>82</v>
      </c>
      <c r="T9" s="30"/>
      <c r="U9" s="29"/>
      <c r="V9" s="29"/>
    </row>
    <row r="10" ht="24" customHeight="1" spans="1:22">
      <c r="A10" s="17" t="s">
        <v>100</v>
      </c>
      <c r="B10" s="17">
        <v>6</v>
      </c>
      <c r="C10" s="17" t="s">
        <v>96</v>
      </c>
      <c r="D10" s="17" t="s">
        <v>101</v>
      </c>
      <c r="E10" s="18" t="s">
        <v>102</v>
      </c>
      <c r="F10" s="18" t="s">
        <v>99</v>
      </c>
      <c r="G10" s="19">
        <v>6</v>
      </c>
      <c r="H10" s="20">
        <f>IF(Protocol!$B$3="","",Protocol!$B$3+G10-1)</f>
        <v>46119</v>
      </c>
      <c r="I10" s="19"/>
      <c r="J10" s="19">
        <v>60</v>
      </c>
      <c r="K10" s="24"/>
      <c r="L10" s="24"/>
      <c r="M10" s="8" t="str">
        <f t="shared" si="0"/>
        <v/>
      </c>
      <c r="N10" s="24">
        <v>46119.5416666667</v>
      </c>
      <c r="O10" s="24">
        <v>46119.625</v>
      </c>
      <c r="P10" s="8">
        <f t="shared" si="1"/>
        <v>119.999999951106</v>
      </c>
      <c r="Q10" s="30" t="s">
        <v>21</v>
      </c>
      <c r="R10" s="28">
        <f t="shared" si="2"/>
        <v>46121</v>
      </c>
      <c r="S10" s="27" t="s">
        <v>82</v>
      </c>
      <c r="T10" s="30"/>
      <c r="U10" s="29"/>
      <c r="V10" s="29"/>
    </row>
    <row r="11" ht="24" customHeight="1" spans="1:22">
      <c r="A11" s="17" t="s">
        <v>103</v>
      </c>
      <c r="B11" s="17">
        <v>7</v>
      </c>
      <c r="C11" s="17" t="s">
        <v>96</v>
      </c>
      <c r="D11" s="17" t="s">
        <v>104</v>
      </c>
      <c r="E11" s="18" t="s">
        <v>105</v>
      </c>
      <c r="F11" s="18" t="s">
        <v>106</v>
      </c>
      <c r="G11" s="19">
        <v>7</v>
      </c>
      <c r="H11" s="20">
        <f>IF(Protocol!$B$3="","",Protocol!$B$3+G11-1)</f>
        <v>46120</v>
      </c>
      <c r="I11" s="19"/>
      <c r="J11" s="19">
        <v>50</v>
      </c>
      <c r="K11" s="24"/>
      <c r="L11" s="24"/>
      <c r="M11" s="8" t="str">
        <f t="shared" si="0"/>
        <v/>
      </c>
      <c r="N11" s="24"/>
      <c r="O11" s="24"/>
      <c r="P11" s="8" t="str">
        <f t="shared" si="1"/>
        <v/>
      </c>
      <c r="Q11" s="30" t="s">
        <v>21</v>
      </c>
      <c r="R11" s="28" t="str">
        <f t="shared" si="2"/>
        <v/>
      </c>
      <c r="S11" s="27" t="s">
        <v>82</v>
      </c>
      <c r="T11" s="30"/>
      <c r="U11" s="29"/>
      <c r="V11" s="29"/>
    </row>
    <row r="12" ht="24" customHeight="1" spans="1:22">
      <c r="A12" s="17" t="s">
        <v>107</v>
      </c>
      <c r="B12" s="17">
        <v>8</v>
      </c>
      <c r="C12" s="17" t="s">
        <v>96</v>
      </c>
      <c r="D12" s="17" t="s">
        <v>108</v>
      </c>
      <c r="E12" s="18" t="s">
        <v>109</v>
      </c>
      <c r="F12" s="18" t="s">
        <v>106</v>
      </c>
      <c r="G12" s="19">
        <v>8</v>
      </c>
      <c r="H12" s="20">
        <f>IF(Protocol!$B$3="","",Protocol!$B$3+G12-1)</f>
        <v>46121</v>
      </c>
      <c r="I12" s="19"/>
      <c r="J12" s="19">
        <v>50</v>
      </c>
      <c r="K12" s="24"/>
      <c r="L12" s="24"/>
      <c r="M12" s="8" t="str">
        <f t="shared" si="0"/>
        <v/>
      </c>
      <c r="N12" s="24">
        <v>46121.5833333333</v>
      </c>
      <c r="O12" s="24">
        <v>46121.75</v>
      </c>
      <c r="P12" s="8">
        <f t="shared" si="1"/>
        <v>240.000000048894</v>
      </c>
      <c r="Q12" s="30" t="s">
        <v>21</v>
      </c>
      <c r="R12" s="28">
        <f t="shared" si="2"/>
        <v>46123</v>
      </c>
      <c r="S12" s="27" t="s">
        <v>82</v>
      </c>
      <c r="T12" s="30"/>
      <c r="U12" s="29"/>
      <c r="V12" s="29"/>
    </row>
    <row r="13" ht="24" customHeight="1" spans="1:22">
      <c r="A13" s="17" t="s">
        <v>110</v>
      </c>
      <c r="B13" s="17">
        <v>9</v>
      </c>
      <c r="C13" s="17" t="s">
        <v>96</v>
      </c>
      <c r="D13" s="17" t="s">
        <v>111</v>
      </c>
      <c r="E13" s="18" t="s">
        <v>112</v>
      </c>
      <c r="F13" s="18" t="s">
        <v>106</v>
      </c>
      <c r="G13" s="19">
        <v>9</v>
      </c>
      <c r="H13" s="20">
        <f>IF(Protocol!$B$3="","",Protocol!$B$3+G13-1)</f>
        <v>46122</v>
      </c>
      <c r="I13" s="19"/>
      <c r="J13" s="19">
        <v>50</v>
      </c>
      <c r="K13" s="24"/>
      <c r="L13" s="24"/>
      <c r="M13" s="8" t="str">
        <f t="shared" si="0"/>
        <v/>
      </c>
      <c r="N13" s="24"/>
      <c r="O13" s="24"/>
      <c r="P13" s="8" t="str">
        <f t="shared" si="1"/>
        <v/>
      </c>
      <c r="Q13" s="30" t="s">
        <v>21</v>
      </c>
      <c r="R13" s="28" t="str">
        <f t="shared" si="2"/>
        <v/>
      </c>
      <c r="S13" s="27" t="s">
        <v>82</v>
      </c>
      <c r="T13" s="30"/>
      <c r="U13" s="29"/>
      <c r="V13" s="29"/>
    </row>
    <row r="14" ht="24" customHeight="1" spans="1:22">
      <c r="A14" s="17" t="s">
        <v>113</v>
      </c>
      <c r="B14" s="17">
        <v>10</v>
      </c>
      <c r="C14" s="17" t="s">
        <v>96</v>
      </c>
      <c r="D14" s="17" t="s">
        <v>114</v>
      </c>
      <c r="E14" s="18" t="s">
        <v>115</v>
      </c>
      <c r="F14" s="18" t="s">
        <v>116</v>
      </c>
      <c r="G14" s="19">
        <v>10</v>
      </c>
      <c r="H14" s="20">
        <f>IF(Protocol!$B$3="","",Protocol!$B$3+G14-1)</f>
        <v>46123</v>
      </c>
      <c r="I14" s="19"/>
      <c r="J14" s="19">
        <v>60</v>
      </c>
      <c r="K14" s="24"/>
      <c r="L14" s="24"/>
      <c r="M14" s="8" t="str">
        <f t="shared" si="0"/>
        <v/>
      </c>
      <c r="N14" s="24">
        <v>46123</v>
      </c>
      <c r="O14" s="24">
        <v>46123</v>
      </c>
      <c r="P14" s="8">
        <f t="shared" si="1"/>
        <v>0</v>
      </c>
      <c r="Q14" s="30" t="s">
        <v>21</v>
      </c>
      <c r="R14" s="28">
        <f t="shared" si="2"/>
        <v>46125</v>
      </c>
      <c r="S14" s="27" t="s">
        <v>82</v>
      </c>
      <c r="T14" s="30"/>
      <c r="U14" s="29"/>
      <c r="V14" s="29"/>
    </row>
    <row r="15" ht="24" customHeight="1" spans="1:22">
      <c r="A15" s="17" t="s">
        <v>117</v>
      </c>
      <c r="B15" s="17">
        <v>11</v>
      </c>
      <c r="C15" s="17" t="s">
        <v>96</v>
      </c>
      <c r="D15" s="17" t="s">
        <v>118</v>
      </c>
      <c r="E15" s="18" t="s">
        <v>119</v>
      </c>
      <c r="F15" s="18" t="s">
        <v>116</v>
      </c>
      <c r="G15" s="19">
        <v>11</v>
      </c>
      <c r="H15" s="20">
        <f>IF(Protocol!$B$3="","",Protocol!$B$3+G15-1)</f>
        <v>46124</v>
      </c>
      <c r="I15" s="19"/>
      <c r="J15" s="19">
        <v>60</v>
      </c>
      <c r="K15" s="24"/>
      <c r="L15" s="24"/>
      <c r="M15" s="8" t="str">
        <f t="shared" si="0"/>
        <v/>
      </c>
      <c r="N15" s="24">
        <v>46124</v>
      </c>
      <c r="O15" s="24">
        <v>46126</v>
      </c>
      <c r="P15" s="8">
        <f t="shared" si="1"/>
        <v>2880</v>
      </c>
      <c r="Q15" s="30" t="s">
        <v>21</v>
      </c>
      <c r="R15" s="28">
        <f t="shared" si="2"/>
        <v>46128</v>
      </c>
      <c r="S15" s="27" t="s">
        <v>82</v>
      </c>
      <c r="T15" s="30"/>
      <c r="U15" s="29"/>
      <c r="V15" s="29"/>
    </row>
    <row r="16" ht="24" customHeight="1" spans="1:22">
      <c r="A16" s="21" t="s">
        <v>120</v>
      </c>
      <c r="B16" s="21">
        <v>12</v>
      </c>
      <c r="C16" s="21" t="s">
        <v>121</v>
      </c>
      <c r="D16" s="21" t="s">
        <v>23</v>
      </c>
      <c r="E16" s="22" t="s">
        <v>122</v>
      </c>
      <c r="F16" s="22" t="s">
        <v>123</v>
      </c>
      <c r="G16" s="23">
        <v>12</v>
      </c>
      <c r="H16" s="20">
        <f>IF(Protocol!$B$3="","",Protocol!$B$3+G16-1)</f>
        <v>46125</v>
      </c>
      <c r="I16" s="23">
        <v>45</v>
      </c>
      <c r="J16" s="23"/>
      <c r="K16" s="24"/>
      <c r="L16" s="24"/>
      <c r="M16" s="8" t="str">
        <f t="shared" si="0"/>
        <v/>
      </c>
      <c r="N16" s="24"/>
      <c r="O16" s="24"/>
      <c r="P16" s="25" t="str">
        <f t="shared" si="1"/>
        <v/>
      </c>
      <c r="Q16" s="27" t="s">
        <v>21</v>
      </c>
      <c r="R16" s="28" t="str">
        <f t="shared" si="2"/>
        <v/>
      </c>
      <c r="S16" s="31" t="s">
        <v>82</v>
      </c>
      <c r="T16" s="31"/>
      <c r="U16" s="29"/>
      <c r="V16" s="29"/>
    </row>
    <row r="17" ht="24" customHeight="1" spans="1:22">
      <c r="A17" s="17" t="s">
        <v>124</v>
      </c>
      <c r="B17" s="17">
        <v>13</v>
      </c>
      <c r="C17" s="17" t="s">
        <v>32</v>
      </c>
      <c r="D17" s="17" t="s">
        <v>125</v>
      </c>
      <c r="E17" s="18" t="s">
        <v>126</v>
      </c>
      <c r="F17" s="18" t="s">
        <v>127</v>
      </c>
      <c r="G17" s="19">
        <v>13</v>
      </c>
      <c r="H17" s="20">
        <f>IF(Protocol!$B$3="","",Protocol!$B$3+G17-1)</f>
        <v>46126</v>
      </c>
      <c r="I17" s="19">
        <v>50</v>
      </c>
      <c r="J17" s="19"/>
      <c r="K17" s="24"/>
      <c r="L17" s="24"/>
      <c r="M17" s="8" t="str">
        <f t="shared" si="0"/>
        <v/>
      </c>
      <c r="N17" s="24"/>
      <c r="O17" s="24"/>
      <c r="P17" s="8" t="str">
        <f t="shared" si="1"/>
        <v/>
      </c>
      <c r="Q17" s="27" t="s">
        <v>21</v>
      </c>
      <c r="R17" s="28" t="str">
        <f t="shared" si="2"/>
        <v/>
      </c>
      <c r="S17" s="27" t="s">
        <v>82</v>
      </c>
      <c r="T17" s="27"/>
      <c r="U17" s="29"/>
      <c r="V17" s="29"/>
    </row>
    <row r="18" ht="24" customHeight="1" spans="1:22">
      <c r="A18" s="17" t="s">
        <v>128</v>
      </c>
      <c r="B18" s="17">
        <v>14</v>
      </c>
      <c r="C18" s="17" t="s">
        <v>32</v>
      </c>
      <c r="D18" s="17" t="s">
        <v>129</v>
      </c>
      <c r="E18" s="18" t="s">
        <v>130</v>
      </c>
      <c r="F18" s="18" t="s">
        <v>131</v>
      </c>
      <c r="G18" s="19">
        <v>14</v>
      </c>
      <c r="H18" s="20">
        <f>IF(Protocol!$B$3="","",Protocol!$B$3+G18-1)</f>
        <v>46127</v>
      </c>
      <c r="I18" s="19">
        <v>70</v>
      </c>
      <c r="J18" s="19"/>
      <c r="K18" s="24"/>
      <c r="L18" s="24"/>
      <c r="M18" s="8" t="str">
        <f t="shared" si="0"/>
        <v/>
      </c>
      <c r="N18" s="24"/>
      <c r="O18" s="24"/>
      <c r="P18" s="8" t="str">
        <f t="shared" si="1"/>
        <v/>
      </c>
      <c r="Q18" s="27" t="s">
        <v>21</v>
      </c>
      <c r="R18" s="28" t="str">
        <f t="shared" si="2"/>
        <v/>
      </c>
      <c r="S18" s="27" t="s">
        <v>82</v>
      </c>
      <c r="T18" s="27"/>
      <c r="U18" s="29"/>
      <c r="V18" s="29"/>
    </row>
    <row r="19" ht="24" customHeight="1" spans="1:22">
      <c r="A19" s="17" t="s">
        <v>132</v>
      </c>
      <c r="B19" s="17">
        <v>15</v>
      </c>
      <c r="C19" s="17" t="s">
        <v>32</v>
      </c>
      <c r="D19" s="17" t="s">
        <v>133</v>
      </c>
      <c r="E19" s="18" t="s">
        <v>134</v>
      </c>
      <c r="F19" s="18" t="s">
        <v>135</v>
      </c>
      <c r="G19" s="19">
        <v>15</v>
      </c>
      <c r="H19" s="20">
        <f>IF(Protocol!$B$3="","",Protocol!$B$3+G19-1)</f>
        <v>46128</v>
      </c>
      <c r="I19" s="19">
        <v>80</v>
      </c>
      <c r="J19" s="19"/>
      <c r="K19" s="24"/>
      <c r="L19" s="24"/>
      <c r="M19" s="8" t="str">
        <f t="shared" si="0"/>
        <v/>
      </c>
      <c r="N19" s="24"/>
      <c r="O19" s="24"/>
      <c r="P19" s="8" t="str">
        <f t="shared" si="1"/>
        <v/>
      </c>
      <c r="Q19" s="27" t="s">
        <v>21</v>
      </c>
      <c r="R19" s="28" t="str">
        <f t="shared" si="2"/>
        <v/>
      </c>
      <c r="S19" s="27" t="s">
        <v>82</v>
      </c>
      <c r="T19" s="27"/>
      <c r="U19" s="29"/>
      <c r="V19" s="29"/>
    </row>
    <row r="20" ht="24" customHeight="1" spans="1:22">
      <c r="A20" s="17" t="s">
        <v>136</v>
      </c>
      <c r="B20" s="17">
        <v>16</v>
      </c>
      <c r="C20" s="17" t="s">
        <v>32</v>
      </c>
      <c r="D20" s="17" t="s">
        <v>137</v>
      </c>
      <c r="E20" s="18" t="s">
        <v>138</v>
      </c>
      <c r="F20" s="18" t="s">
        <v>139</v>
      </c>
      <c r="G20" s="19">
        <v>16</v>
      </c>
      <c r="H20" s="20">
        <f>IF(Protocol!$B$3="","",Protocol!$B$3+G20-1)</f>
        <v>46129</v>
      </c>
      <c r="I20" s="19">
        <v>60</v>
      </c>
      <c r="J20" s="19"/>
      <c r="K20" s="24"/>
      <c r="L20" s="24"/>
      <c r="M20" s="8" t="str">
        <f t="shared" si="0"/>
        <v/>
      </c>
      <c r="N20" s="24"/>
      <c r="O20" s="24"/>
      <c r="P20" s="8" t="str">
        <f t="shared" si="1"/>
        <v/>
      </c>
      <c r="Q20" s="27" t="s">
        <v>21</v>
      </c>
      <c r="R20" s="28" t="str">
        <f t="shared" si="2"/>
        <v/>
      </c>
      <c r="S20" s="27" t="s">
        <v>82</v>
      </c>
      <c r="T20" s="27"/>
      <c r="U20" s="29"/>
      <c r="V20" s="29"/>
    </row>
    <row r="21" ht="24" customHeight="1" spans="1:22">
      <c r="A21" s="17" t="s">
        <v>140</v>
      </c>
      <c r="B21" s="17">
        <v>17</v>
      </c>
      <c r="C21" s="17" t="s">
        <v>32</v>
      </c>
      <c r="D21" s="17" t="s">
        <v>141</v>
      </c>
      <c r="E21" s="18" t="s">
        <v>142</v>
      </c>
      <c r="F21" s="18" t="s">
        <v>143</v>
      </c>
      <c r="G21" s="19">
        <v>17</v>
      </c>
      <c r="H21" s="20">
        <f>IF(Protocol!$B$3="","",Protocol!$B$3+G21-1)</f>
        <v>46130</v>
      </c>
      <c r="I21" s="19">
        <v>80</v>
      </c>
      <c r="J21" s="19"/>
      <c r="K21" s="24"/>
      <c r="L21" s="24"/>
      <c r="M21" s="8" t="str">
        <f t="shared" si="0"/>
        <v/>
      </c>
      <c r="N21" s="24"/>
      <c r="O21" s="24"/>
      <c r="P21" s="8" t="str">
        <f t="shared" si="1"/>
        <v/>
      </c>
      <c r="Q21" s="27" t="s">
        <v>21</v>
      </c>
      <c r="R21" s="28" t="str">
        <f t="shared" si="2"/>
        <v/>
      </c>
      <c r="S21" s="27" t="s">
        <v>82</v>
      </c>
      <c r="T21" s="27"/>
      <c r="U21" s="29"/>
      <c r="V21" s="29"/>
    </row>
    <row r="22" ht="24" customHeight="1" spans="1:22">
      <c r="A22" s="17" t="s">
        <v>144</v>
      </c>
      <c r="B22" s="17">
        <v>18</v>
      </c>
      <c r="C22" s="17" t="s">
        <v>32</v>
      </c>
      <c r="D22" s="17" t="s">
        <v>145</v>
      </c>
      <c r="E22" s="18" t="s">
        <v>146</v>
      </c>
      <c r="F22" s="18" t="s">
        <v>147</v>
      </c>
      <c r="G22" s="19">
        <v>18</v>
      </c>
      <c r="H22" s="20">
        <f>IF(Protocol!$B$3="","",Protocol!$B$3+G22-1)</f>
        <v>46131</v>
      </c>
      <c r="I22" s="19">
        <v>80</v>
      </c>
      <c r="J22" s="19"/>
      <c r="K22" s="24"/>
      <c r="L22" s="24"/>
      <c r="M22" s="8" t="str">
        <f t="shared" si="0"/>
        <v/>
      </c>
      <c r="N22" s="24"/>
      <c r="O22" s="24"/>
      <c r="P22" s="8" t="str">
        <f t="shared" si="1"/>
        <v/>
      </c>
      <c r="Q22" s="27" t="s">
        <v>21</v>
      </c>
      <c r="R22" s="28" t="str">
        <f t="shared" si="2"/>
        <v/>
      </c>
      <c r="S22" s="27" t="s">
        <v>82</v>
      </c>
      <c r="T22" s="27"/>
      <c r="U22" s="29"/>
      <c r="V22" s="29"/>
    </row>
    <row r="23" ht="24" customHeight="1" spans="1:22">
      <c r="A23" s="17" t="s">
        <v>148</v>
      </c>
      <c r="B23" s="17">
        <v>19</v>
      </c>
      <c r="C23" s="17" t="s">
        <v>96</v>
      </c>
      <c r="D23" s="17" t="s">
        <v>149</v>
      </c>
      <c r="E23" s="18" t="s">
        <v>150</v>
      </c>
      <c r="F23" s="18" t="s">
        <v>151</v>
      </c>
      <c r="G23" s="19">
        <v>19</v>
      </c>
      <c r="H23" s="20">
        <f>IF(Protocol!$B$3="","",Protocol!$B$3+G23-1)</f>
        <v>46132</v>
      </c>
      <c r="I23" s="19"/>
      <c r="J23" s="19">
        <v>60</v>
      </c>
      <c r="K23" s="24"/>
      <c r="L23" s="24"/>
      <c r="M23" s="8" t="str">
        <f t="shared" si="0"/>
        <v/>
      </c>
      <c r="N23" s="24">
        <v>46143</v>
      </c>
      <c r="O23" s="24">
        <v>46143</v>
      </c>
      <c r="P23" s="8">
        <f t="shared" si="1"/>
        <v>0</v>
      </c>
      <c r="Q23" s="30" t="s">
        <v>21</v>
      </c>
      <c r="R23" s="28">
        <f t="shared" si="2"/>
        <v>46145</v>
      </c>
      <c r="S23" s="27" t="s">
        <v>82</v>
      </c>
      <c r="T23" s="30"/>
      <c r="U23" s="29"/>
      <c r="V23" s="29"/>
    </row>
    <row r="24" ht="24" customHeight="1" spans="1:22">
      <c r="A24" s="17" t="s">
        <v>152</v>
      </c>
      <c r="B24" s="17">
        <v>20</v>
      </c>
      <c r="C24" s="17" t="s">
        <v>96</v>
      </c>
      <c r="D24" s="17" t="s">
        <v>153</v>
      </c>
      <c r="E24" s="18" t="s">
        <v>154</v>
      </c>
      <c r="F24" s="18" t="s">
        <v>151</v>
      </c>
      <c r="G24" s="19">
        <v>20</v>
      </c>
      <c r="H24" s="20">
        <f>IF(Protocol!$B$3="","",Protocol!$B$3+G24-1)</f>
        <v>46133</v>
      </c>
      <c r="I24" s="19"/>
      <c r="J24" s="19">
        <v>60</v>
      </c>
      <c r="K24" s="24"/>
      <c r="L24" s="24"/>
      <c r="M24" s="8" t="str">
        <f t="shared" si="0"/>
        <v/>
      </c>
      <c r="N24" s="24">
        <v>46144</v>
      </c>
      <c r="O24" s="24">
        <v>46144</v>
      </c>
      <c r="P24" s="8">
        <f t="shared" si="1"/>
        <v>0</v>
      </c>
      <c r="Q24" s="30" t="s">
        <v>21</v>
      </c>
      <c r="R24" s="28">
        <f t="shared" si="2"/>
        <v>46146</v>
      </c>
      <c r="S24" s="27" t="s">
        <v>82</v>
      </c>
      <c r="T24" s="30"/>
      <c r="U24" s="29"/>
      <c r="V24" s="29"/>
    </row>
    <row r="25" ht="24" customHeight="1" spans="1:22">
      <c r="A25" s="17" t="s">
        <v>155</v>
      </c>
      <c r="B25" s="17">
        <v>21</v>
      </c>
      <c r="C25" s="17" t="s">
        <v>96</v>
      </c>
      <c r="D25" s="17" t="s">
        <v>156</v>
      </c>
      <c r="E25" s="18" t="s">
        <v>157</v>
      </c>
      <c r="F25" s="18" t="s">
        <v>158</v>
      </c>
      <c r="G25" s="19">
        <v>21</v>
      </c>
      <c r="H25" s="20">
        <f>IF(Protocol!$B$3="","",Protocol!$B$3+G25-1)</f>
        <v>46134</v>
      </c>
      <c r="I25" s="19"/>
      <c r="J25" s="19">
        <v>60</v>
      </c>
      <c r="K25" s="24"/>
      <c r="L25" s="24"/>
      <c r="M25" s="8" t="str">
        <f t="shared" si="0"/>
        <v/>
      </c>
      <c r="N25" s="24">
        <v>46145</v>
      </c>
      <c r="O25" s="24">
        <v>46145</v>
      </c>
      <c r="P25" s="8">
        <f t="shared" si="1"/>
        <v>0</v>
      </c>
      <c r="Q25" s="30" t="s">
        <v>21</v>
      </c>
      <c r="R25" s="28">
        <f t="shared" si="2"/>
        <v>46147</v>
      </c>
      <c r="S25" s="27" t="s">
        <v>82</v>
      </c>
      <c r="T25" s="30"/>
      <c r="U25" s="29"/>
      <c r="V25" s="29"/>
    </row>
    <row r="26" ht="24" customHeight="1" spans="1:22">
      <c r="A26" s="17" t="s">
        <v>159</v>
      </c>
      <c r="B26" s="17">
        <v>22</v>
      </c>
      <c r="C26" s="17" t="s">
        <v>96</v>
      </c>
      <c r="D26" s="17" t="s">
        <v>160</v>
      </c>
      <c r="E26" s="18" t="s">
        <v>161</v>
      </c>
      <c r="F26" s="18" t="s">
        <v>158</v>
      </c>
      <c r="G26" s="19">
        <v>22</v>
      </c>
      <c r="H26" s="20">
        <f>IF(Protocol!$B$3="","",Protocol!$B$3+G26-1)</f>
        <v>46135</v>
      </c>
      <c r="I26" s="19"/>
      <c r="J26" s="19">
        <v>60</v>
      </c>
      <c r="K26" s="24"/>
      <c r="L26" s="24"/>
      <c r="M26" s="8" t="str">
        <f t="shared" si="0"/>
        <v/>
      </c>
      <c r="N26" s="24">
        <v>46147</v>
      </c>
      <c r="O26" s="24">
        <v>46147</v>
      </c>
      <c r="P26" s="8">
        <f t="shared" si="1"/>
        <v>0</v>
      </c>
      <c r="Q26" s="30" t="s">
        <v>21</v>
      </c>
      <c r="R26" s="28">
        <f t="shared" si="2"/>
        <v>46149</v>
      </c>
      <c r="S26" s="27" t="s">
        <v>82</v>
      </c>
      <c r="T26" s="30"/>
      <c r="U26" s="29"/>
      <c r="V26" s="29"/>
    </row>
    <row r="27" ht="24" customHeight="1" spans="1:22">
      <c r="A27" s="17" t="s">
        <v>162</v>
      </c>
      <c r="B27" s="17">
        <v>23</v>
      </c>
      <c r="C27" s="17" t="s">
        <v>96</v>
      </c>
      <c r="D27" s="17" t="s">
        <v>163</v>
      </c>
      <c r="E27" s="18" t="s">
        <v>164</v>
      </c>
      <c r="F27" s="18" t="s">
        <v>158</v>
      </c>
      <c r="G27" s="19">
        <v>23</v>
      </c>
      <c r="H27" s="20">
        <f>IF(Protocol!$B$3="","",Protocol!$B$3+G27-1)</f>
        <v>46136</v>
      </c>
      <c r="I27" s="19"/>
      <c r="J27" s="19">
        <v>60</v>
      </c>
      <c r="K27" s="24"/>
      <c r="L27" s="24"/>
      <c r="M27" s="8" t="str">
        <f t="shared" si="0"/>
        <v/>
      </c>
      <c r="N27" s="24">
        <v>46148</v>
      </c>
      <c r="O27" s="24">
        <v>46148</v>
      </c>
      <c r="P27" s="8">
        <f t="shared" si="1"/>
        <v>0</v>
      </c>
      <c r="Q27" s="30" t="s">
        <v>21</v>
      </c>
      <c r="R27" s="28">
        <f t="shared" si="2"/>
        <v>46150</v>
      </c>
      <c r="S27" s="27" t="s">
        <v>82</v>
      </c>
      <c r="T27" s="30"/>
      <c r="U27" s="29"/>
      <c r="V27" s="29"/>
    </row>
    <row r="28" ht="24" customHeight="1" spans="1:22">
      <c r="A28" s="17" t="s">
        <v>165</v>
      </c>
      <c r="B28" s="17">
        <v>24</v>
      </c>
      <c r="C28" s="17" t="s">
        <v>96</v>
      </c>
      <c r="D28" s="17" t="s">
        <v>166</v>
      </c>
      <c r="E28" s="18" t="s">
        <v>167</v>
      </c>
      <c r="F28" s="18" t="s">
        <v>168</v>
      </c>
      <c r="G28" s="19">
        <v>24</v>
      </c>
      <c r="H28" s="20">
        <f>IF(Protocol!$B$3="","",Protocol!$B$3+G28-1)</f>
        <v>46137</v>
      </c>
      <c r="I28" s="19"/>
      <c r="J28" s="19">
        <v>70</v>
      </c>
      <c r="K28" s="24"/>
      <c r="L28" s="24"/>
      <c r="M28" s="8" t="str">
        <f t="shared" si="0"/>
        <v/>
      </c>
      <c r="N28" s="24">
        <v>46149</v>
      </c>
      <c r="O28" s="24">
        <v>46149</v>
      </c>
      <c r="P28" s="8">
        <f t="shared" si="1"/>
        <v>0</v>
      </c>
      <c r="Q28" s="30" t="s">
        <v>21</v>
      </c>
      <c r="R28" s="28">
        <f t="shared" si="2"/>
        <v>46151</v>
      </c>
      <c r="S28" s="27" t="s">
        <v>82</v>
      </c>
      <c r="T28" s="30"/>
      <c r="U28" s="29"/>
      <c r="V28" s="29"/>
    </row>
    <row r="29" ht="24" customHeight="1" spans="1:22">
      <c r="A29" s="17" t="s">
        <v>169</v>
      </c>
      <c r="B29" s="17">
        <v>25</v>
      </c>
      <c r="C29" s="17" t="s">
        <v>96</v>
      </c>
      <c r="D29" s="17" t="s">
        <v>170</v>
      </c>
      <c r="E29" s="18" t="s">
        <v>171</v>
      </c>
      <c r="F29" s="18" t="s">
        <v>168</v>
      </c>
      <c r="G29" s="19">
        <v>25</v>
      </c>
      <c r="H29" s="20">
        <f>IF(Protocol!$B$3="","",Protocol!$B$3+G29-1)</f>
        <v>46138</v>
      </c>
      <c r="I29" s="19"/>
      <c r="J29" s="19">
        <v>70</v>
      </c>
      <c r="K29" s="24"/>
      <c r="L29" s="24"/>
      <c r="M29" s="8" t="str">
        <f t="shared" si="0"/>
        <v/>
      </c>
      <c r="N29" s="24">
        <v>46150</v>
      </c>
      <c r="O29" s="24">
        <v>46150</v>
      </c>
      <c r="P29" s="8">
        <f t="shared" si="1"/>
        <v>0</v>
      </c>
      <c r="Q29" s="30" t="s">
        <v>21</v>
      </c>
      <c r="R29" s="28">
        <f t="shared" si="2"/>
        <v>46152</v>
      </c>
      <c r="S29" s="27" t="s">
        <v>82</v>
      </c>
      <c r="T29" s="30"/>
      <c r="U29" s="29"/>
      <c r="V29" s="29"/>
    </row>
    <row r="30" ht="24" customHeight="1" spans="1:22">
      <c r="A30" s="17" t="s">
        <v>172</v>
      </c>
      <c r="B30" s="17">
        <v>26</v>
      </c>
      <c r="C30" s="17" t="s">
        <v>96</v>
      </c>
      <c r="D30" s="17" t="s">
        <v>173</v>
      </c>
      <c r="E30" s="18" t="s">
        <v>174</v>
      </c>
      <c r="F30" s="18" t="s">
        <v>168</v>
      </c>
      <c r="G30" s="19">
        <v>26</v>
      </c>
      <c r="H30" s="20">
        <f>IF(Protocol!$B$3="","",Protocol!$B$3+G30-1)</f>
        <v>46139</v>
      </c>
      <c r="I30" s="19"/>
      <c r="J30" s="19">
        <v>70</v>
      </c>
      <c r="K30" s="24"/>
      <c r="L30" s="24"/>
      <c r="M30" s="8" t="str">
        <f t="shared" si="0"/>
        <v/>
      </c>
      <c r="N30" s="24">
        <v>46151</v>
      </c>
      <c r="O30" s="24">
        <v>46151</v>
      </c>
      <c r="P30" s="8">
        <f t="shared" si="1"/>
        <v>0</v>
      </c>
      <c r="Q30" s="30" t="s">
        <v>21</v>
      </c>
      <c r="R30" s="28">
        <f t="shared" si="2"/>
        <v>46153</v>
      </c>
      <c r="S30" s="27" t="s">
        <v>82</v>
      </c>
      <c r="T30" s="30"/>
      <c r="U30" s="29"/>
      <c r="V30" s="29"/>
    </row>
    <row r="31" ht="24" customHeight="1" spans="1:22">
      <c r="A31" s="17" t="s">
        <v>175</v>
      </c>
      <c r="B31" s="17">
        <v>27</v>
      </c>
      <c r="C31" s="17" t="s">
        <v>96</v>
      </c>
      <c r="D31" s="17" t="s">
        <v>176</v>
      </c>
      <c r="E31" s="18" t="s">
        <v>177</v>
      </c>
      <c r="F31" s="18" t="s">
        <v>178</v>
      </c>
      <c r="G31" s="19">
        <v>27</v>
      </c>
      <c r="H31" s="20">
        <f>IF(Protocol!$B$3="","",Protocol!$B$3+G31-1)</f>
        <v>46140</v>
      </c>
      <c r="I31" s="19"/>
      <c r="J31" s="19">
        <v>70</v>
      </c>
      <c r="K31" s="24"/>
      <c r="L31" s="24"/>
      <c r="M31" s="8" t="str">
        <f t="shared" si="0"/>
        <v/>
      </c>
      <c r="N31" s="24">
        <v>46151</v>
      </c>
      <c r="O31" s="24">
        <v>46151</v>
      </c>
      <c r="P31" s="8">
        <f t="shared" si="1"/>
        <v>0</v>
      </c>
      <c r="Q31" s="30" t="s">
        <v>21</v>
      </c>
      <c r="R31" s="28">
        <f t="shared" si="2"/>
        <v>46153</v>
      </c>
      <c r="S31" s="27" t="s">
        <v>82</v>
      </c>
      <c r="T31" s="30"/>
      <c r="U31" s="29"/>
      <c r="V31" s="29"/>
    </row>
    <row r="32" ht="24" customHeight="1" spans="1:22">
      <c r="A32" s="17" t="s">
        <v>179</v>
      </c>
      <c r="B32" s="17">
        <v>28</v>
      </c>
      <c r="C32" s="17" t="s">
        <v>96</v>
      </c>
      <c r="D32" s="17" t="s">
        <v>180</v>
      </c>
      <c r="E32" s="18" t="s">
        <v>181</v>
      </c>
      <c r="F32" s="18" t="s">
        <v>178</v>
      </c>
      <c r="G32" s="19">
        <v>28</v>
      </c>
      <c r="H32" s="20">
        <f>IF(Protocol!$B$3="","",Protocol!$B$3+G32-1)</f>
        <v>46141</v>
      </c>
      <c r="I32" s="19"/>
      <c r="J32" s="19">
        <v>70</v>
      </c>
      <c r="K32" s="24"/>
      <c r="L32" s="24"/>
      <c r="M32" s="8" t="str">
        <f t="shared" si="0"/>
        <v/>
      </c>
      <c r="N32" s="24">
        <v>46152</v>
      </c>
      <c r="O32" s="24">
        <v>46152</v>
      </c>
      <c r="P32" s="8">
        <f t="shared" si="1"/>
        <v>0</v>
      </c>
      <c r="Q32" s="30" t="s">
        <v>21</v>
      </c>
      <c r="R32" s="28">
        <f t="shared" si="2"/>
        <v>46154</v>
      </c>
      <c r="S32" s="27" t="s">
        <v>82</v>
      </c>
      <c r="T32" s="30"/>
      <c r="U32" s="29"/>
      <c r="V32" s="29"/>
    </row>
    <row r="33" ht="24" customHeight="1" spans="1:22">
      <c r="A33" s="17" t="s">
        <v>182</v>
      </c>
      <c r="B33" s="17">
        <v>29</v>
      </c>
      <c r="C33" s="17" t="s">
        <v>96</v>
      </c>
      <c r="D33" s="17" t="s">
        <v>183</v>
      </c>
      <c r="E33" s="18" t="s">
        <v>184</v>
      </c>
      <c r="F33" s="18" t="s">
        <v>178</v>
      </c>
      <c r="G33" s="19">
        <v>29</v>
      </c>
      <c r="H33" s="20">
        <f>IF(Protocol!$B$3="","",Protocol!$B$3+G33-1)</f>
        <v>46142</v>
      </c>
      <c r="I33" s="19"/>
      <c r="J33" s="19">
        <v>70</v>
      </c>
      <c r="K33" s="24"/>
      <c r="L33" s="24"/>
      <c r="M33" s="8" t="str">
        <f t="shared" si="0"/>
        <v/>
      </c>
      <c r="N33" s="24">
        <v>46153</v>
      </c>
      <c r="O33" s="24">
        <v>46153</v>
      </c>
      <c r="P33" s="8">
        <f t="shared" si="1"/>
        <v>0</v>
      </c>
      <c r="Q33" s="30" t="s">
        <v>21</v>
      </c>
      <c r="R33" s="28">
        <f t="shared" si="2"/>
        <v>46155</v>
      </c>
      <c r="S33" s="27" t="s">
        <v>82</v>
      </c>
      <c r="T33" s="30"/>
      <c r="U33" s="29"/>
      <c r="V33" s="29"/>
    </row>
    <row r="34" ht="24" customHeight="1" spans="1:22">
      <c r="A34" s="17" t="s">
        <v>185</v>
      </c>
      <c r="B34" s="17">
        <v>30</v>
      </c>
      <c r="C34" s="17" t="s">
        <v>96</v>
      </c>
      <c r="D34" s="17" t="s">
        <v>186</v>
      </c>
      <c r="E34" s="18" t="s">
        <v>187</v>
      </c>
      <c r="F34" s="18" t="s">
        <v>188</v>
      </c>
      <c r="G34" s="19">
        <v>30</v>
      </c>
      <c r="H34" s="20">
        <f>IF(Protocol!$B$3="","",Protocol!$B$3+G34-1)</f>
        <v>46143</v>
      </c>
      <c r="I34" s="19"/>
      <c r="J34" s="19">
        <v>70</v>
      </c>
      <c r="K34" s="24"/>
      <c r="L34" s="24"/>
      <c r="M34" s="8" t="str">
        <f t="shared" si="0"/>
        <v/>
      </c>
      <c r="N34" s="24">
        <v>46154</v>
      </c>
      <c r="O34" s="24">
        <v>46154</v>
      </c>
      <c r="P34" s="8">
        <f t="shared" si="1"/>
        <v>0</v>
      </c>
      <c r="Q34" s="30" t="s">
        <v>21</v>
      </c>
      <c r="R34" s="28">
        <f t="shared" si="2"/>
        <v>46156</v>
      </c>
      <c r="S34" s="27" t="s">
        <v>82</v>
      </c>
      <c r="T34" s="30"/>
      <c r="U34" s="29"/>
      <c r="V34" s="29"/>
    </row>
    <row r="35" ht="24" customHeight="1" spans="1:22">
      <c r="A35" s="17" t="s">
        <v>189</v>
      </c>
      <c r="B35" s="17">
        <v>31</v>
      </c>
      <c r="C35" s="17" t="s">
        <v>96</v>
      </c>
      <c r="D35" s="17" t="s">
        <v>190</v>
      </c>
      <c r="E35" s="18" t="s">
        <v>191</v>
      </c>
      <c r="F35" s="18" t="s">
        <v>188</v>
      </c>
      <c r="G35" s="19">
        <v>31</v>
      </c>
      <c r="H35" s="20">
        <f>IF(Protocol!$B$3="","",Protocol!$B$3+G35-1)</f>
        <v>46144</v>
      </c>
      <c r="I35" s="19"/>
      <c r="J35" s="19">
        <v>70</v>
      </c>
      <c r="K35" s="24"/>
      <c r="L35" s="24"/>
      <c r="M35" s="8" t="str">
        <f t="shared" si="0"/>
        <v/>
      </c>
      <c r="N35" s="24">
        <v>46154</v>
      </c>
      <c r="O35" s="24">
        <v>46154</v>
      </c>
      <c r="P35" s="8">
        <f t="shared" si="1"/>
        <v>0</v>
      </c>
      <c r="Q35" s="30" t="s">
        <v>21</v>
      </c>
      <c r="R35" s="28">
        <f t="shared" si="2"/>
        <v>46156</v>
      </c>
      <c r="S35" s="27" t="s">
        <v>82</v>
      </c>
      <c r="T35" s="30"/>
      <c r="U35" s="29"/>
      <c r="V35" s="29"/>
    </row>
    <row r="36" ht="24" customHeight="1" spans="1:22">
      <c r="A36" s="17" t="s">
        <v>192</v>
      </c>
      <c r="B36" s="17">
        <v>32</v>
      </c>
      <c r="C36" s="17" t="s">
        <v>96</v>
      </c>
      <c r="D36" s="17" t="s">
        <v>193</v>
      </c>
      <c r="E36" s="18" t="s">
        <v>194</v>
      </c>
      <c r="F36" s="18" t="s">
        <v>188</v>
      </c>
      <c r="G36" s="19">
        <v>32</v>
      </c>
      <c r="H36" s="20">
        <f>IF(Protocol!$B$3="","",Protocol!$B$3+G36-1)</f>
        <v>46145</v>
      </c>
      <c r="I36" s="19"/>
      <c r="J36" s="19">
        <v>70</v>
      </c>
      <c r="K36" s="24"/>
      <c r="L36" s="24"/>
      <c r="M36" s="8" t="str">
        <f t="shared" si="0"/>
        <v/>
      </c>
      <c r="N36" s="24">
        <v>46154</v>
      </c>
      <c r="O36" s="24">
        <v>46154</v>
      </c>
      <c r="P36" s="8">
        <f t="shared" si="1"/>
        <v>0</v>
      </c>
      <c r="Q36" s="30" t="s">
        <v>21</v>
      </c>
      <c r="R36" s="28">
        <f t="shared" si="2"/>
        <v>46156</v>
      </c>
      <c r="S36" s="27" t="s">
        <v>82</v>
      </c>
      <c r="T36" s="30"/>
      <c r="U36" s="29"/>
      <c r="V36" s="29"/>
    </row>
    <row r="37" ht="24" customHeight="1" spans="1:22">
      <c r="A37" s="17" t="s">
        <v>195</v>
      </c>
      <c r="B37" s="17">
        <v>33</v>
      </c>
      <c r="C37" s="17" t="s">
        <v>96</v>
      </c>
      <c r="D37" s="17" t="s">
        <v>196</v>
      </c>
      <c r="E37" s="18" t="s">
        <v>197</v>
      </c>
      <c r="F37" s="18" t="s">
        <v>198</v>
      </c>
      <c r="G37" s="19">
        <v>33</v>
      </c>
      <c r="H37" s="20">
        <f>IF(Protocol!$B$3="","",Protocol!$B$3+G37-1)</f>
        <v>46146</v>
      </c>
      <c r="I37" s="19"/>
      <c r="J37" s="19">
        <v>70</v>
      </c>
      <c r="K37" s="24"/>
      <c r="L37" s="24"/>
      <c r="M37" s="8" t="str">
        <f t="shared" si="0"/>
        <v/>
      </c>
      <c r="N37" s="24">
        <v>46159</v>
      </c>
      <c r="O37" s="24">
        <v>46159</v>
      </c>
      <c r="P37" s="8">
        <f t="shared" si="1"/>
        <v>0</v>
      </c>
      <c r="Q37" s="30" t="s">
        <v>21</v>
      </c>
      <c r="R37" s="28">
        <f t="shared" si="2"/>
        <v>46161</v>
      </c>
      <c r="S37" s="27" t="s">
        <v>82</v>
      </c>
      <c r="T37" s="30"/>
      <c r="U37" s="29"/>
      <c r="V37" s="29"/>
    </row>
    <row r="38" ht="24" customHeight="1" spans="1:22">
      <c r="A38" s="17" t="s">
        <v>199</v>
      </c>
      <c r="B38" s="17">
        <v>34</v>
      </c>
      <c r="C38" s="17" t="s">
        <v>96</v>
      </c>
      <c r="D38" s="17" t="s">
        <v>200</v>
      </c>
      <c r="E38" s="18" t="s">
        <v>201</v>
      </c>
      <c r="F38" s="18" t="s">
        <v>198</v>
      </c>
      <c r="G38" s="19">
        <v>34</v>
      </c>
      <c r="H38" s="20">
        <f>IF(Protocol!$B$3="","",Protocol!$B$3+G38-1)</f>
        <v>46147</v>
      </c>
      <c r="I38" s="19"/>
      <c r="J38" s="19">
        <v>70</v>
      </c>
      <c r="K38" s="24"/>
      <c r="L38" s="24"/>
      <c r="M38" s="8" t="str">
        <f t="shared" si="0"/>
        <v/>
      </c>
      <c r="N38" s="24">
        <v>46160</v>
      </c>
      <c r="O38" s="24">
        <v>46160</v>
      </c>
      <c r="P38" s="8">
        <f t="shared" si="1"/>
        <v>0</v>
      </c>
      <c r="Q38" s="30" t="s">
        <v>21</v>
      </c>
      <c r="R38" s="28">
        <f t="shared" si="2"/>
        <v>46162</v>
      </c>
      <c r="S38" s="27" t="s">
        <v>82</v>
      </c>
      <c r="T38" s="30"/>
      <c r="U38" s="29"/>
      <c r="V38" s="29"/>
    </row>
    <row r="39" ht="24" customHeight="1" spans="1:22">
      <c r="A39" s="17" t="s">
        <v>202</v>
      </c>
      <c r="B39" s="17">
        <v>35</v>
      </c>
      <c r="C39" s="17" t="s">
        <v>96</v>
      </c>
      <c r="D39" s="17" t="s">
        <v>203</v>
      </c>
      <c r="E39" s="18" t="s">
        <v>204</v>
      </c>
      <c r="F39" s="18" t="s">
        <v>198</v>
      </c>
      <c r="G39" s="19">
        <v>35</v>
      </c>
      <c r="H39" s="20">
        <f>IF(Protocol!$B$3="","",Protocol!$B$3+G39-1)</f>
        <v>46148</v>
      </c>
      <c r="I39" s="19"/>
      <c r="J39" s="19">
        <v>70</v>
      </c>
      <c r="K39" s="24"/>
      <c r="L39" s="24"/>
      <c r="M39" s="8" t="str">
        <f t="shared" si="0"/>
        <v/>
      </c>
      <c r="N39" s="24">
        <v>46161</v>
      </c>
      <c r="O39" s="24">
        <v>46161</v>
      </c>
      <c r="P39" s="8">
        <f t="shared" si="1"/>
        <v>0</v>
      </c>
      <c r="Q39" s="30" t="s">
        <v>21</v>
      </c>
      <c r="R39" s="28">
        <f t="shared" si="2"/>
        <v>46163</v>
      </c>
      <c r="S39" s="27" t="s">
        <v>82</v>
      </c>
      <c r="T39" s="30"/>
      <c r="U39" s="29"/>
      <c r="V39" s="29"/>
    </row>
    <row r="40" ht="24" customHeight="1" spans="1:22">
      <c r="A40" s="17" t="s">
        <v>205</v>
      </c>
      <c r="B40" s="17">
        <v>36</v>
      </c>
      <c r="C40" s="17" t="s">
        <v>96</v>
      </c>
      <c r="D40" s="17" t="s">
        <v>206</v>
      </c>
      <c r="E40" s="18" t="s">
        <v>207</v>
      </c>
      <c r="F40" s="18" t="s">
        <v>208</v>
      </c>
      <c r="G40" s="19">
        <v>36</v>
      </c>
      <c r="H40" s="20">
        <f>IF(Protocol!$B$3="","",Protocol!$B$3+G40-1)</f>
        <v>46149</v>
      </c>
      <c r="I40" s="19"/>
      <c r="J40" s="19">
        <v>80</v>
      </c>
      <c r="K40" s="24"/>
      <c r="L40" s="24"/>
      <c r="M40" s="8" t="str">
        <f t="shared" si="0"/>
        <v/>
      </c>
      <c r="N40" s="24">
        <v>46162</v>
      </c>
      <c r="O40" s="24">
        <v>46162</v>
      </c>
      <c r="P40" s="8">
        <f t="shared" si="1"/>
        <v>0</v>
      </c>
      <c r="Q40" s="30" t="s">
        <v>21</v>
      </c>
      <c r="R40" s="28">
        <f t="shared" si="2"/>
        <v>46164</v>
      </c>
      <c r="S40" s="27" t="s">
        <v>82</v>
      </c>
      <c r="T40" s="30"/>
      <c r="U40" s="29"/>
      <c r="V40" s="29"/>
    </row>
    <row r="41" ht="24" customHeight="1" spans="1:22">
      <c r="A41" s="17" t="s">
        <v>209</v>
      </c>
      <c r="B41" s="17">
        <v>37</v>
      </c>
      <c r="C41" s="17" t="s">
        <v>96</v>
      </c>
      <c r="D41" s="17" t="s">
        <v>210</v>
      </c>
      <c r="E41" s="18" t="s">
        <v>211</v>
      </c>
      <c r="F41" s="18" t="s">
        <v>208</v>
      </c>
      <c r="G41" s="19">
        <v>37</v>
      </c>
      <c r="H41" s="20">
        <f>IF(Protocol!$B$3="","",Protocol!$B$3+G41-1)</f>
        <v>46150</v>
      </c>
      <c r="I41" s="19"/>
      <c r="J41" s="19">
        <v>80</v>
      </c>
      <c r="K41" s="24"/>
      <c r="L41" s="24"/>
      <c r="M41" s="8" t="str">
        <f t="shared" si="0"/>
        <v/>
      </c>
      <c r="N41" s="24">
        <v>46163</v>
      </c>
      <c r="O41" s="24">
        <v>46163</v>
      </c>
      <c r="P41" s="8">
        <f t="shared" si="1"/>
        <v>0</v>
      </c>
      <c r="Q41" s="30" t="s">
        <v>21</v>
      </c>
      <c r="R41" s="28">
        <f t="shared" si="2"/>
        <v>46165</v>
      </c>
      <c r="S41" s="27" t="s">
        <v>82</v>
      </c>
      <c r="T41" s="30"/>
      <c r="U41" s="29"/>
      <c r="V41" s="29"/>
    </row>
    <row r="42" ht="24" customHeight="1" spans="1:22">
      <c r="A42" s="17" t="s">
        <v>212</v>
      </c>
      <c r="B42" s="17">
        <v>38</v>
      </c>
      <c r="C42" s="17" t="s">
        <v>96</v>
      </c>
      <c r="D42" s="17" t="s">
        <v>213</v>
      </c>
      <c r="E42" s="18" t="s">
        <v>214</v>
      </c>
      <c r="F42" s="18" t="s">
        <v>208</v>
      </c>
      <c r="G42" s="19">
        <v>38</v>
      </c>
      <c r="H42" s="20">
        <f>IF(Protocol!$B$3="","",Protocol!$B$3+G42-1)</f>
        <v>46151</v>
      </c>
      <c r="I42" s="19"/>
      <c r="J42" s="19">
        <v>80</v>
      </c>
      <c r="K42" s="24"/>
      <c r="L42" s="24"/>
      <c r="M42" s="8" t="str">
        <f t="shared" si="0"/>
        <v/>
      </c>
      <c r="N42" s="24">
        <v>46164</v>
      </c>
      <c r="O42" s="24">
        <v>46164</v>
      </c>
      <c r="P42" s="8">
        <f t="shared" si="1"/>
        <v>0</v>
      </c>
      <c r="Q42" s="30" t="s">
        <v>21</v>
      </c>
      <c r="R42" s="28">
        <f t="shared" si="2"/>
        <v>46166</v>
      </c>
      <c r="S42" s="27" t="s">
        <v>82</v>
      </c>
      <c r="T42" s="30"/>
      <c r="U42" s="29"/>
      <c r="V42" s="29"/>
    </row>
    <row r="43" ht="24" customHeight="1" spans="1:22">
      <c r="A43" s="17" t="s">
        <v>215</v>
      </c>
      <c r="B43" s="17">
        <v>39</v>
      </c>
      <c r="C43" s="17" t="s">
        <v>96</v>
      </c>
      <c r="D43" s="17" t="s">
        <v>216</v>
      </c>
      <c r="E43" s="18" t="s">
        <v>217</v>
      </c>
      <c r="F43" s="18" t="s">
        <v>218</v>
      </c>
      <c r="G43" s="19">
        <v>39</v>
      </c>
      <c r="H43" s="20">
        <f>IF(Protocol!$B$3="","",Protocol!$B$3+G43-1)</f>
        <v>46152</v>
      </c>
      <c r="I43" s="19"/>
      <c r="J43" s="19">
        <v>80</v>
      </c>
      <c r="K43" s="24"/>
      <c r="L43" s="24"/>
      <c r="M43" s="8" t="str">
        <f t="shared" si="0"/>
        <v/>
      </c>
      <c r="N43" s="24">
        <v>46165</v>
      </c>
      <c r="O43" s="24">
        <v>46165</v>
      </c>
      <c r="P43" s="8">
        <f t="shared" si="1"/>
        <v>0</v>
      </c>
      <c r="Q43" s="30" t="s">
        <v>21</v>
      </c>
      <c r="R43" s="28">
        <f t="shared" si="2"/>
        <v>46167</v>
      </c>
      <c r="S43" s="27" t="s">
        <v>82</v>
      </c>
      <c r="T43" s="30"/>
      <c r="U43" s="29"/>
      <c r="V43" s="29"/>
    </row>
    <row r="44" ht="24" customHeight="1" spans="1:22">
      <c r="A44" s="17" t="s">
        <v>219</v>
      </c>
      <c r="B44" s="17">
        <v>40</v>
      </c>
      <c r="C44" s="17" t="s">
        <v>96</v>
      </c>
      <c r="D44" s="17" t="s">
        <v>220</v>
      </c>
      <c r="E44" s="18" t="s">
        <v>221</v>
      </c>
      <c r="F44" s="18" t="s">
        <v>218</v>
      </c>
      <c r="G44" s="19">
        <v>40</v>
      </c>
      <c r="H44" s="20">
        <f>IF(Protocol!$B$3="","",Protocol!$B$3+G44-1)</f>
        <v>46153</v>
      </c>
      <c r="I44" s="19"/>
      <c r="J44" s="19">
        <v>80</v>
      </c>
      <c r="K44" s="24"/>
      <c r="L44" s="24"/>
      <c r="M44" s="8" t="str">
        <f t="shared" si="0"/>
        <v/>
      </c>
      <c r="N44" s="24">
        <v>46167</v>
      </c>
      <c r="O44" s="24">
        <v>46167</v>
      </c>
      <c r="P44" s="8">
        <f t="shared" si="1"/>
        <v>0</v>
      </c>
      <c r="Q44" s="30" t="s">
        <v>21</v>
      </c>
      <c r="R44" s="28">
        <f t="shared" si="2"/>
        <v>46169</v>
      </c>
      <c r="S44" s="27" t="s">
        <v>82</v>
      </c>
      <c r="T44" s="30"/>
      <c r="U44" s="29"/>
      <c r="V44" s="29"/>
    </row>
    <row r="45" ht="24" customHeight="1" spans="1:22">
      <c r="A45" s="17" t="s">
        <v>222</v>
      </c>
      <c r="B45" s="17">
        <v>41</v>
      </c>
      <c r="C45" s="17" t="s">
        <v>96</v>
      </c>
      <c r="D45" s="17" t="s">
        <v>223</v>
      </c>
      <c r="E45" s="18" t="s">
        <v>224</v>
      </c>
      <c r="F45" s="18" t="s">
        <v>218</v>
      </c>
      <c r="G45" s="19">
        <v>41</v>
      </c>
      <c r="H45" s="20">
        <f>IF(Protocol!$B$3="","",Protocol!$B$3+G45-1)</f>
        <v>46154</v>
      </c>
      <c r="I45" s="19"/>
      <c r="J45" s="19">
        <v>80</v>
      </c>
      <c r="K45" s="24"/>
      <c r="L45" s="24"/>
      <c r="M45" s="8" t="str">
        <f t="shared" si="0"/>
        <v/>
      </c>
      <c r="N45" s="24">
        <v>46168</v>
      </c>
      <c r="O45" s="24">
        <v>46168</v>
      </c>
      <c r="P45" s="8">
        <f t="shared" si="1"/>
        <v>0</v>
      </c>
      <c r="Q45" s="30" t="s">
        <v>21</v>
      </c>
      <c r="R45" s="28">
        <f t="shared" si="2"/>
        <v>46170</v>
      </c>
      <c r="S45" s="27" t="s">
        <v>82</v>
      </c>
      <c r="T45" s="30"/>
      <c r="U45" s="29"/>
      <c r="V45" s="29"/>
    </row>
    <row r="46" ht="24" customHeight="1" spans="1:22">
      <c r="A46" s="17" t="s">
        <v>225</v>
      </c>
      <c r="B46" s="17">
        <v>42</v>
      </c>
      <c r="C46" s="17" t="s">
        <v>96</v>
      </c>
      <c r="D46" s="17" t="s">
        <v>226</v>
      </c>
      <c r="E46" s="18" t="s">
        <v>227</v>
      </c>
      <c r="F46" s="18" t="s">
        <v>228</v>
      </c>
      <c r="G46" s="19">
        <v>42</v>
      </c>
      <c r="H46" s="20">
        <f>IF(Protocol!$B$3="","",Protocol!$B$3+G46-1)</f>
        <v>46155</v>
      </c>
      <c r="I46" s="19"/>
      <c r="J46" s="19">
        <v>70</v>
      </c>
      <c r="K46" s="24"/>
      <c r="L46" s="24"/>
      <c r="M46" s="8" t="str">
        <f t="shared" si="0"/>
        <v/>
      </c>
      <c r="N46" s="24">
        <v>46169</v>
      </c>
      <c r="O46" s="24">
        <v>46170</v>
      </c>
      <c r="P46" s="8">
        <f t="shared" si="1"/>
        <v>1440</v>
      </c>
      <c r="Q46" s="30" t="s">
        <v>21</v>
      </c>
      <c r="R46" s="28">
        <f t="shared" si="2"/>
        <v>46172</v>
      </c>
      <c r="S46" s="27" t="s">
        <v>82</v>
      </c>
      <c r="T46" s="30"/>
      <c r="U46" s="29"/>
      <c r="V46" s="29"/>
    </row>
    <row r="47" ht="24" customHeight="1" spans="1:22">
      <c r="A47" s="17" t="s">
        <v>229</v>
      </c>
      <c r="B47" s="17">
        <v>43</v>
      </c>
      <c r="C47" s="17" t="s">
        <v>96</v>
      </c>
      <c r="D47" s="17" t="s">
        <v>230</v>
      </c>
      <c r="E47" s="18" t="s">
        <v>231</v>
      </c>
      <c r="F47" s="18" t="s">
        <v>228</v>
      </c>
      <c r="G47" s="19">
        <v>43</v>
      </c>
      <c r="H47" s="20">
        <f>IF(Protocol!$B$3="","",Protocol!$B$3+G47-1)</f>
        <v>46156</v>
      </c>
      <c r="I47" s="19"/>
      <c r="J47" s="19">
        <v>70</v>
      </c>
      <c r="K47" s="24"/>
      <c r="L47" s="24"/>
      <c r="M47" s="8" t="str">
        <f t="shared" si="0"/>
        <v/>
      </c>
      <c r="N47" s="24">
        <v>46171</v>
      </c>
      <c r="O47" s="24">
        <v>46171</v>
      </c>
      <c r="P47" s="8">
        <f t="shared" si="1"/>
        <v>0</v>
      </c>
      <c r="Q47" s="30" t="s">
        <v>21</v>
      </c>
      <c r="R47" s="28">
        <f t="shared" si="2"/>
        <v>46173</v>
      </c>
      <c r="S47" s="27" t="s">
        <v>82</v>
      </c>
      <c r="T47" s="30"/>
      <c r="U47" s="29"/>
      <c r="V47" s="29"/>
    </row>
    <row r="48" ht="24" customHeight="1" spans="1:22">
      <c r="A48" s="21" t="s">
        <v>232</v>
      </c>
      <c r="B48" s="21">
        <v>44</v>
      </c>
      <c r="C48" s="21" t="s">
        <v>121</v>
      </c>
      <c r="D48" s="21" t="s">
        <v>25</v>
      </c>
      <c r="E48" s="22" t="s">
        <v>233</v>
      </c>
      <c r="F48" s="22" t="s">
        <v>234</v>
      </c>
      <c r="G48" s="23">
        <v>44</v>
      </c>
      <c r="H48" s="20">
        <f>IF(Protocol!$B$3="","",Protocol!$B$3+G48-1)</f>
        <v>46157</v>
      </c>
      <c r="I48" s="23">
        <v>50</v>
      </c>
      <c r="J48" s="23"/>
      <c r="K48" s="24"/>
      <c r="L48" s="24"/>
      <c r="M48" s="8" t="str">
        <f t="shared" si="0"/>
        <v/>
      </c>
      <c r="N48" s="26"/>
      <c r="O48" s="26"/>
      <c r="P48" s="25" t="str">
        <f t="shared" si="1"/>
        <v/>
      </c>
      <c r="Q48" s="27" t="s">
        <v>30</v>
      </c>
      <c r="R48" s="28" t="str">
        <f t="shared" si="2"/>
        <v/>
      </c>
      <c r="S48" s="31" t="s">
        <v>82</v>
      </c>
      <c r="T48" s="31"/>
      <c r="U48" s="29"/>
      <c r="V48" s="29"/>
    </row>
  </sheetData>
  <mergeCells count="2">
    <mergeCell ref="A1:V1"/>
    <mergeCell ref="E2:J2"/>
  </mergeCells>
  <conditionalFormatting sqref="Q5:Q28">
    <cfRule type="containsText" dxfId="17" priority="1" operator="between" text="Completed">
      <formula>NOT(ISERROR(SEARCH("Completed",Q5)))</formula>
    </cfRule>
    <cfRule type="containsText" dxfId="18" priority="2" operator="between" text="Reading">
      <formula>NOT(ISERROR(SEARCH("Reading",Q5)))</formula>
    </cfRule>
    <cfRule type="containsText" dxfId="19" priority="3" operator="between" text="Doing Exercises">
      <formula>NOT(ISERROR(SEARCH("Doing Exercises",Q5)))</formula>
    </cfRule>
    <cfRule type="containsText" dxfId="20" priority="4" operator="between" text="Review Due">
      <formula>NOT(ISERROR(SEARCH("Review Due",Q5)))</formula>
    </cfRule>
    <cfRule type="containsText" dxfId="21" priority="5" operator="between" text="Not Started">
      <formula>NOT(ISERROR(SEARCH("Not Started",Q5)))</formula>
    </cfRule>
  </conditionalFormatting>
  <dataValidations count="3">
    <dataValidation type="list" allowBlank="1" sqref="Q5:Q48">
      <formula1>Protocol!$J$1:$J$5</formula1>
    </dataValidation>
    <dataValidation type="list" allowBlank="1" sqref="S5:S48">
      <formula1>"Yes,No"</formula1>
    </dataValidation>
    <dataValidation type="list" allowBlank="1" sqref="T5:T48">
      <formula1>Protocol!$K$1:$K$5</formula1>
    </dataValidation>
  </dataValidations>
  <pageMargins left="0.7" right="0.7" top="0.75" bottom="0.75" header="0.3" footer="0.3"/>
  <headerFooter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G7" sqref="G7"/>
    </sheetView>
  </sheetViews>
  <sheetFormatPr defaultColWidth="9" defaultRowHeight="15" outlineLevelCol="6"/>
  <cols>
    <col min="1" max="1" width="10" customWidth="1"/>
    <col min="2" max="2" width="14" customWidth="1"/>
    <col min="3" max="3" width="23" customWidth="1"/>
    <col min="4" max="4" width="42" customWidth="1"/>
    <col min="5" max="5" width="11" customWidth="1"/>
    <col min="6" max="6" width="14" customWidth="1"/>
    <col min="7" max="7" width="9" customWidth="1"/>
  </cols>
  <sheetData>
    <row r="1" ht="19.5" spans="1:1">
      <c r="A1" s="1" t="s">
        <v>235</v>
      </c>
    </row>
    <row r="2" spans="1:1">
      <c r="A2" t="s">
        <v>236</v>
      </c>
    </row>
    <row r="3" spans="1:7">
      <c r="A3" s="3" t="s">
        <v>58</v>
      </c>
      <c r="B3" s="3" t="s">
        <v>27</v>
      </c>
      <c r="C3" s="3" t="s">
        <v>237</v>
      </c>
      <c r="D3" s="3" t="s">
        <v>238</v>
      </c>
      <c r="E3" s="3" t="s">
        <v>239</v>
      </c>
      <c r="F3" s="3" t="s">
        <v>240</v>
      </c>
      <c r="G3" s="3" t="s">
        <v>241</v>
      </c>
    </row>
    <row r="4" ht="30" spans="1:7">
      <c r="A4" s="9" t="s">
        <v>95</v>
      </c>
      <c r="B4" s="9">
        <v>1</v>
      </c>
      <c r="C4" s="10" t="s">
        <v>242</v>
      </c>
      <c r="D4" s="10" t="s">
        <v>99</v>
      </c>
      <c r="E4" s="9" t="s">
        <v>243</v>
      </c>
      <c r="F4" s="9" t="s">
        <v>91</v>
      </c>
      <c r="G4" s="11" t="s">
        <v>244</v>
      </c>
    </row>
    <row r="5" ht="30" spans="1:7">
      <c r="A5" s="9" t="s">
        <v>100</v>
      </c>
      <c r="B5" s="9">
        <v>12</v>
      </c>
      <c r="C5" s="10" t="s">
        <v>242</v>
      </c>
      <c r="D5" s="10" t="s">
        <v>99</v>
      </c>
      <c r="E5" s="9" t="s">
        <v>243</v>
      </c>
      <c r="F5" s="9" t="s">
        <v>91</v>
      </c>
      <c r="G5" s="11" t="s">
        <v>244</v>
      </c>
    </row>
    <row r="6" ht="30" spans="1:7">
      <c r="A6" s="9" t="s">
        <v>103</v>
      </c>
      <c r="B6" s="9">
        <v>17</v>
      </c>
      <c r="C6" s="10" t="s">
        <v>245</v>
      </c>
      <c r="D6" s="10" t="s">
        <v>106</v>
      </c>
      <c r="E6" s="9" t="s">
        <v>243</v>
      </c>
      <c r="F6" s="9" t="s">
        <v>91</v>
      </c>
      <c r="G6" s="11" t="s">
        <v>244</v>
      </c>
    </row>
    <row r="7" ht="30" spans="1:7">
      <c r="A7" s="9" t="s">
        <v>107</v>
      </c>
      <c r="B7" s="9">
        <v>19</v>
      </c>
      <c r="C7" s="10" t="s">
        <v>245</v>
      </c>
      <c r="D7" s="10" t="s">
        <v>106</v>
      </c>
      <c r="E7" s="9" t="s">
        <v>243</v>
      </c>
      <c r="F7" s="9" t="s">
        <v>91</v>
      </c>
      <c r="G7" s="11" t="s">
        <v>244</v>
      </c>
    </row>
    <row r="8" ht="30" spans="1:7">
      <c r="A8" s="9" t="s">
        <v>110</v>
      </c>
      <c r="B8" s="9">
        <v>21</v>
      </c>
      <c r="C8" s="10" t="s">
        <v>245</v>
      </c>
      <c r="D8" s="10" t="s">
        <v>106</v>
      </c>
      <c r="E8" s="9" t="s">
        <v>243</v>
      </c>
      <c r="F8" s="9" t="s">
        <v>91</v>
      </c>
      <c r="G8" s="11" t="s">
        <v>82</v>
      </c>
    </row>
    <row r="9" ht="30" spans="1:7">
      <c r="A9" s="9" t="s">
        <v>113</v>
      </c>
      <c r="B9" s="9">
        <v>24</v>
      </c>
      <c r="C9" s="10" t="s">
        <v>246</v>
      </c>
      <c r="D9" s="10" t="s">
        <v>116</v>
      </c>
      <c r="E9" s="9" t="s">
        <v>243</v>
      </c>
      <c r="F9" s="9" t="s">
        <v>91</v>
      </c>
      <c r="G9" s="11" t="s">
        <v>82</v>
      </c>
    </row>
    <row r="10" ht="30" spans="1:7">
      <c r="A10" s="9" t="s">
        <v>117</v>
      </c>
      <c r="B10" s="9">
        <v>25</v>
      </c>
      <c r="C10" s="10" t="s">
        <v>246</v>
      </c>
      <c r="D10" s="10" t="s">
        <v>116</v>
      </c>
      <c r="E10" s="9" t="s">
        <v>243</v>
      </c>
      <c r="F10" s="9" t="s">
        <v>91</v>
      </c>
      <c r="G10" s="11" t="s">
        <v>82</v>
      </c>
    </row>
    <row r="11" ht="30" spans="1:7">
      <c r="A11" s="9" t="s">
        <v>148</v>
      </c>
      <c r="B11" s="9">
        <v>2</v>
      </c>
      <c r="C11" s="10" t="s">
        <v>247</v>
      </c>
      <c r="D11" s="10" t="s">
        <v>151</v>
      </c>
      <c r="E11" s="9" t="s">
        <v>248</v>
      </c>
      <c r="F11" s="9" t="s">
        <v>144</v>
      </c>
      <c r="G11" s="11" t="s">
        <v>82</v>
      </c>
    </row>
    <row r="12" ht="30" spans="1:7">
      <c r="A12" s="9" t="s">
        <v>152</v>
      </c>
      <c r="B12" s="9">
        <v>4</v>
      </c>
      <c r="C12" s="10" t="s">
        <v>247</v>
      </c>
      <c r="D12" s="10" t="s">
        <v>151</v>
      </c>
      <c r="E12" s="9" t="s">
        <v>248</v>
      </c>
      <c r="F12" s="9" t="s">
        <v>144</v>
      </c>
      <c r="G12" s="11" t="s">
        <v>82</v>
      </c>
    </row>
    <row r="13" ht="30" spans="1:7">
      <c r="A13" s="9" t="s">
        <v>155</v>
      </c>
      <c r="B13" s="9">
        <v>5</v>
      </c>
      <c r="C13" s="10" t="s">
        <v>249</v>
      </c>
      <c r="D13" s="10" t="s">
        <v>158</v>
      </c>
      <c r="E13" s="9" t="s">
        <v>243</v>
      </c>
      <c r="F13" s="9" t="s">
        <v>144</v>
      </c>
      <c r="G13" s="11" t="s">
        <v>82</v>
      </c>
    </row>
    <row r="14" ht="30" spans="1:7">
      <c r="A14" s="9" t="s">
        <v>159</v>
      </c>
      <c r="B14" s="9">
        <v>6</v>
      </c>
      <c r="C14" s="10" t="s">
        <v>249</v>
      </c>
      <c r="D14" s="10" t="s">
        <v>158</v>
      </c>
      <c r="E14" s="9" t="s">
        <v>243</v>
      </c>
      <c r="F14" s="9" t="s">
        <v>144</v>
      </c>
      <c r="G14" s="11" t="s">
        <v>82</v>
      </c>
    </row>
    <row r="15" ht="30" spans="1:7">
      <c r="A15" s="9" t="s">
        <v>162</v>
      </c>
      <c r="B15" s="9">
        <v>8</v>
      </c>
      <c r="C15" s="10" t="s">
        <v>249</v>
      </c>
      <c r="D15" s="10" t="s">
        <v>158</v>
      </c>
      <c r="E15" s="9" t="s">
        <v>243</v>
      </c>
      <c r="F15" s="9" t="s">
        <v>144</v>
      </c>
      <c r="G15" s="11" t="s">
        <v>82</v>
      </c>
    </row>
    <row r="16" spans="1:7">
      <c r="A16" s="9" t="s">
        <v>165</v>
      </c>
      <c r="B16" s="9">
        <v>3</v>
      </c>
      <c r="C16" s="10" t="s">
        <v>250</v>
      </c>
      <c r="D16" s="10" t="s">
        <v>168</v>
      </c>
      <c r="E16" s="9" t="s">
        <v>248</v>
      </c>
      <c r="F16" s="9" t="s">
        <v>144</v>
      </c>
      <c r="G16" s="11" t="s">
        <v>82</v>
      </c>
    </row>
    <row r="17" spans="1:7">
      <c r="A17" s="9" t="s">
        <v>169</v>
      </c>
      <c r="B17" s="9">
        <v>9</v>
      </c>
      <c r="C17" s="10" t="s">
        <v>250</v>
      </c>
      <c r="D17" s="10" t="s">
        <v>168</v>
      </c>
      <c r="E17" s="9" t="s">
        <v>248</v>
      </c>
      <c r="F17" s="9" t="s">
        <v>144</v>
      </c>
      <c r="G17" s="11" t="s">
        <v>82</v>
      </c>
    </row>
    <row r="18" spans="1:7">
      <c r="A18" s="9" t="s">
        <v>172</v>
      </c>
      <c r="B18" s="9">
        <v>10</v>
      </c>
      <c r="C18" s="10" t="s">
        <v>250</v>
      </c>
      <c r="D18" s="10" t="s">
        <v>168</v>
      </c>
      <c r="E18" s="9" t="s">
        <v>248</v>
      </c>
      <c r="F18" s="9" t="s">
        <v>144</v>
      </c>
      <c r="G18" s="11" t="s">
        <v>82</v>
      </c>
    </row>
    <row r="19" ht="30" spans="1:7">
      <c r="A19" s="9" t="s">
        <v>175</v>
      </c>
      <c r="B19" s="9">
        <v>15</v>
      </c>
      <c r="C19" s="10" t="s">
        <v>251</v>
      </c>
      <c r="D19" s="10" t="s">
        <v>178</v>
      </c>
      <c r="E19" s="9" t="s">
        <v>243</v>
      </c>
      <c r="F19" s="9" t="s">
        <v>144</v>
      </c>
      <c r="G19" s="11" t="s">
        <v>82</v>
      </c>
    </row>
    <row r="20" ht="30" spans="1:7">
      <c r="A20" s="9" t="s">
        <v>179</v>
      </c>
      <c r="B20" s="9">
        <v>16</v>
      </c>
      <c r="C20" s="10" t="s">
        <v>251</v>
      </c>
      <c r="D20" s="10" t="s">
        <v>178</v>
      </c>
      <c r="E20" s="9" t="s">
        <v>243</v>
      </c>
      <c r="F20" s="9" t="s">
        <v>144</v>
      </c>
      <c r="G20" s="11" t="s">
        <v>82</v>
      </c>
    </row>
    <row r="21" ht="30" spans="1:7">
      <c r="A21" s="9" t="s">
        <v>182</v>
      </c>
      <c r="B21" s="9">
        <v>18</v>
      </c>
      <c r="C21" s="10" t="s">
        <v>251</v>
      </c>
      <c r="D21" s="10" t="s">
        <v>178</v>
      </c>
      <c r="E21" s="9" t="s">
        <v>243</v>
      </c>
      <c r="F21" s="9" t="s">
        <v>144</v>
      </c>
      <c r="G21" s="11" t="s">
        <v>82</v>
      </c>
    </row>
    <row r="22" ht="30" spans="1:7">
      <c r="A22" s="9" t="s">
        <v>185</v>
      </c>
      <c r="B22" s="9">
        <v>20</v>
      </c>
      <c r="C22" s="10" t="s">
        <v>252</v>
      </c>
      <c r="D22" s="10" t="s">
        <v>188</v>
      </c>
      <c r="E22" s="9" t="s">
        <v>248</v>
      </c>
      <c r="F22" s="9" t="s">
        <v>144</v>
      </c>
      <c r="G22" s="11" t="s">
        <v>82</v>
      </c>
    </row>
    <row r="23" ht="30" spans="1:7">
      <c r="A23" s="9" t="s">
        <v>189</v>
      </c>
      <c r="B23" s="9">
        <v>22</v>
      </c>
      <c r="C23" s="10" t="s">
        <v>252</v>
      </c>
      <c r="D23" s="10" t="s">
        <v>188</v>
      </c>
      <c r="E23" s="9" t="s">
        <v>248</v>
      </c>
      <c r="F23" s="9" t="s">
        <v>144</v>
      </c>
      <c r="G23" s="11" t="s">
        <v>82</v>
      </c>
    </row>
    <row r="24" ht="30" spans="1:7">
      <c r="A24" s="9" t="s">
        <v>192</v>
      </c>
      <c r="B24" s="9">
        <v>30</v>
      </c>
      <c r="C24" s="10" t="s">
        <v>252</v>
      </c>
      <c r="D24" s="10" t="s">
        <v>188</v>
      </c>
      <c r="E24" s="9" t="s">
        <v>248</v>
      </c>
      <c r="F24" s="9" t="s">
        <v>144</v>
      </c>
      <c r="G24" s="11" t="s">
        <v>82</v>
      </c>
    </row>
    <row r="25" ht="30" spans="1:7">
      <c r="A25" s="9" t="s">
        <v>195</v>
      </c>
      <c r="B25" s="9">
        <v>11</v>
      </c>
      <c r="C25" s="10" t="s">
        <v>253</v>
      </c>
      <c r="D25" s="10" t="s">
        <v>198</v>
      </c>
      <c r="E25" s="9" t="s">
        <v>248</v>
      </c>
      <c r="F25" s="9" t="s">
        <v>144</v>
      </c>
      <c r="G25" s="11" t="s">
        <v>82</v>
      </c>
    </row>
    <row r="26" ht="30" spans="1:7">
      <c r="A26" s="9" t="s">
        <v>199</v>
      </c>
      <c r="B26" s="9">
        <v>13</v>
      </c>
      <c r="C26" s="10" t="s">
        <v>253</v>
      </c>
      <c r="D26" s="10" t="s">
        <v>198</v>
      </c>
      <c r="E26" s="9" t="s">
        <v>248</v>
      </c>
      <c r="F26" s="9" t="s">
        <v>144</v>
      </c>
      <c r="G26" s="11" t="s">
        <v>82</v>
      </c>
    </row>
    <row r="27" ht="30" spans="1:7">
      <c r="A27" s="9" t="s">
        <v>202</v>
      </c>
      <c r="B27" s="9">
        <v>14</v>
      </c>
      <c r="C27" s="10" t="s">
        <v>253</v>
      </c>
      <c r="D27" s="10" t="s">
        <v>198</v>
      </c>
      <c r="E27" s="9" t="s">
        <v>248</v>
      </c>
      <c r="F27" s="9" t="s">
        <v>144</v>
      </c>
      <c r="G27" s="11" t="s">
        <v>82</v>
      </c>
    </row>
    <row r="28" ht="30" spans="1:7">
      <c r="A28" s="9" t="s">
        <v>205</v>
      </c>
      <c r="B28" s="9">
        <v>26</v>
      </c>
      <c r="C28" s="10" t="s">
        <v>254</v>
      </c>
      <c r="D28" s="10" t="s">
        <v>208</v>
      </c>
      <c r="E28" s="9" t="s">
        <v>243</v>
      </c>
      <c r="F28" s="9" t="s">
        <v>144</v>
      </c>
      <c r="G28" s="11" t="s">
        <v>82</v>
      </c>
    </row>
    <row r="29" ht="30" spans="1:7">
      <c r="A29" s="9" t="s">
        <v>209</v>
      </c>
      <c r="B29" s="9">
        <v>27</v>
      </c>
      <c r="C29" s="10" t="s">
        <v>254</v>
      </c>
      <c r="D29" s="10" t="s">
        <v>208</v>
      </c>
      <c r="E29" s="9" t="s">
        <v>243</v>
      </c>
      <c r="F29" s="9" t="s">
        <v>144</v>
      </c>
      <c r="G29" s="11" t="s">
        <v>82</v>
      </c>
    </row>
    <row r="30" ht="30" spans="1:7">
      <c r="A30" s="9" t="s">
        <v>212</v>
      </c>
      <c r="B30" s="9">
        <v>28</v>
      </c>
      <c r="C30" s="10" t="s">
        <v>254</v>
      </c>
      <c r="D30" s="10" t="s">
        <v>208</v>
      </c>
      <c r="E30" s="9" t="s">
        <v>243</v>
      </c>
      <c r="F30" s="9" t="s">
        <v>144</v>
      </c>
      <c r="G30" s="11" t="s">
        <v>82</v>
      </c>
    </row>
    <row r="31" ht="30" spans="1:7">
      <c r="A31" s="9" t="s">
        <v>215</v>
      </c>
      <c r="B31" s="9">
        <v>23</v>
      </c>
      <c r="C31" s="10" t="s">
        <v>255</v>
      </c>
      <c r="D31" s="10" t="s">
        <v>218</v>
      </c>
      <c r="E31" s="9" t="s">
        <v>248</v>
      </c>
      <c r="F31" s="9" t="s">
        <v>144</v>
      </c>
      <c r="G31" s="11" t="s">
        <v>82</v>
      </c>
    </row>
    <row r="32" ht="30" spans="1:7">
      <c r="A32" s="9" t="s">
        <v>219</v>
      </c>
      <c r="B32" s="9">
        <v>29</v>
      </c>
      <c r="C32" s="10" t="s">
        <v>255</v>
      </c>
      <c r="D32" s="10" t="s">
        <v>218</v>
      </c>
      <c r="E32" s="9" t="s">
        <v>248</v>
      </c>
      <c r="F32" s="9" t="s">
        <v>144</v>
      </c>
      <c r="G32" s="11" t="s">
        <v>82</v>
      </c>
    </row>
    <row r="33" ht="30" spans="1:7">
      <c r="A33" s="9" t="s">
        <v>222</v>
      </c>
      <c r="B33" s="9">
        <v>33</v>
      </c>
      <c r="C33" s="10" t="s">
        <v>255</v>
      </c>
      <c r="D33" s="10" t="s">
        <v>218</v>
      </c>
      <c r="E33" s="9" t="s">
        <v>248</v>
      </c>
      <c r="F33" s="9" t="s">
        <v>144</v>
      </c>
      <c r="G33" s="11" t="s">
        <v>82</v>
      </c>
    </row>
    <row r="34" ht="30" spans="1:7">
      <c r="A34" s="9" t="s">
        <v>225</v>
      </c>
      <c r="B34" s="9">
        <v>31</v>
      </c>
      <c r="C34" s="10" t="s">
        <v>256</v>
      </c>
      <c r="D34" s="10" t="s">
        <v>228</v>
      </c>
      <c r="E34" s="9" t="s">
        <v>248</v>
      </c>
      <c r="F34" s="9" t="s">
        <v>144</v>
      </c>
      <c r="G34" s="11" t="s">
        <v>82</v>
      </c>
    </row>
    <row r="35" ht="30" spans="1:7">
      <c r="A35" s="9" t="s">
        <v>229</v>
      </c>
      <c r="B35" s="9">
        <v>32</v>
      </c>
      <c r="C35" s="10" t="s">
        <v>256</v>
      </c>
      <c r="D35" s="10" t="s">
        <v>228</v>
      </c>
      <c r="E35" s="9" t="s">
        <v>248</v>
      </c>
      <c r="F35" s="9" t="s">
        <v>144</v>
      </c>
      <c r="G35" s="11" t="s">
        <v>82</v>
      </c>
    </row>
  </sheetData>
  <mergeCells count="1">
    <mergeCell ref="A1:G1"/>
  </mergeCells>
  <dataValidations count="1">
    <dataValidation type="list" allowBlank="1" sqref="G4:G35">
      <formula1>"Yes,No"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showGridLines="0" workbookViewId="0">
      <selection activeCell="A7" sqref="A7:A10"/>
    </sheetView>
  </sheetViews>
  <sheetFormatPr defaultColWidth="9" defaultRowHeight="15"/>
  <cols>
    <col min="1" max="1" width="14" customWidth="1"/>
    <col min="2" max="2" width="9" customWidth="1"/>
    <col min="3" max="3" width="20" customWidth="1"/>
    <col min="4" max="5" width="11" customWidth="1"/>
    <col min="6" max="6" width="14" customWidth="1"/>
    <col min="7" max="7" width="28" customWidth="1"/>
    <col min="8" max="9" width="24" customWidth="1"/>
    <col min="10" max="10" width="16" customWidth="1"/>
  </cols>
  <sheetData>
    <row r="1" ht="19.5" spans="1:1">
      <c r="A1" s="1" t="s">
        <v>257</v>
      </c>
    </row>
    <row r="2" spans="1:1">
      <c r="A2" s="2" t="s">
        <v>258</v>
      </c>
    </row>
    <row r="4" spans="1:10">
      <c r="A4" s="3" t="s">
        <v>259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264</v>
      </c>
      <c r="G4" s="3" t="s">
        <v>265</v>
      </c>
      <c r="H4" s="3" t="s">
        <v>266</v>
      </c>
      <c r="I4" s="3" t="s">
        <v>267</v>
      </c>
      <c r="J4" s="3" t="s">
        <v>268</v>
      </c>
    </row>
    <row r="5" spans="1:10">
      <c r="A5" s="4">
        <v>46114</v>
      </c>
      <c r="B5" s="5">
        <f>IF(A5="","",A5-Protocol!$B$3+1)</f>
        <v>1</v>
      </c>
      <c r="C5" s="6"/>
      <c r="D5" s="7"/>
      <c r="E5" s="7"/>
      <c r="F5" s="8" t="str">
        <f t="shared" ref="F5:F36" si="0">IF(OR(D5&lt;&gt;"",E5&lt;&gt;""),SUM(D5:E5),"")</f>
        <v/>
      </c>
      <c r="G5" s="6"/>
      <c r="H5" s="6"/>
      <c r="I5" s="6"/>
      <c r="J5" s="6"/>
    </row>
    <row r="6" spans="1:10">
      <c r="A6" s="4">
        <v>46115</v>
      </c>
      <c r="B6" s="5">
        <f>IF(A6="","",A6-Protocol!$B$3+1)</f>
        <v>2</v>
      </c>
      <c r="C6" s="6"/>
      <c r="D6" s="7"/>
      <c r="E6" s="7"/>
      <c r="F6" s="8" t="str">
        <f t="shared" si="0"/>
        <v/>
      </c>
      <c r="G6" s="6"/>
      <c r="H6" s="6"/>
      <c r="I6" s="6"/>
      <c r="J6" s="6"/>
    </row>
    <row r="7" spans="1:10">
      <c r="A7" s="4">
        <v>46118</v>
      </c>
      <c r="B7" s="5">
        <f>IF(A7="","",A7-Protocol!$B$3+1)</f>
        <v>5</v>
      </c>
      <c r="C7" s="6"/>
      <c r="D7" s="7"/>
      <c r="E7" s="7"/>
      <c r="F7" s="8" t="str">
        <f t="shared" si="0"/>
        <v/>
      </c>
      <c r="G7" s="6"/>
      <c r="H7" s="6"/>
      <c r="I7" s="6"/>
      <c r="J7" s="6"/>
    </row>
    <row r="8" spans="1:10">
      <c r="A8" s="4">
        <v>46119</v>
      </c>
      <c r="B8" s="5">
        <f>IF(A8="","",A8-Protocol!$B$3+1)</f>
        <v>6</v>
      </c>
      <c r="C8" s="6"/>
      <c r="D8" s="7"/>
      <c r="E8" s="7"/>
      <c r="F8" s="8" t="str">
        <f t="shared" si="0"/>
        <v/>
      </c>
      <c r="G8" s="6"/>
      <c r="H8" s="6"/>
      <c r="I8" s="6"/>
      <c r="J8" s="6"/>
    </row>
    <row r="9" spans="1:10">
      <c r="A9" s="4">
        <v>46120</v>
      </c>
      <c r="B9" s="5">
        <f>IF(A9="","",A9-Protocol!$B$3+1)</f>
        <v>7</v>
      </c>
      <c r="C9" s="6"/>
      <c r="D9" s="7"/>
      <c r="E9" s="7"/>
      <c r="F9" s="8" t="str">
        <f t="shared" si="0"/>
        <v/>
      </c>
      <c r="G9" s="6"/>
      <c r="H9" s="6"/>
      <c r="I9" s="6"/>
      <c r="J9" s="6"/>
    </row>
    <row r="10" spans="1:10">
      <c r="A10" s="4">
        <v>46121</v>
      </c>
      <c r="B10" s="5">
        <f>IF(A10="","",A10-Protocol!$B$3+1)</f>
        <v>8</v>
      </c>
      <c r="C10" s="6"/>
      <c r="D10" s="7"/>
      <c r="E10" s="7"/>
      <c r="F10" s="8" t="str">
        <f t="shared" si="0"/>
        <v/>
      </c>
      <c r="G10" s="6"/>
      <c r="H10" s="6"/>
      <c r="I10" s="6"/>
      <c r="J10" s="6"/>
    </row>
    <row r="11" spans="1:10">
      <c r="A11" s="4"/>
      <c r="B11" s="5" t="str">
        <f>IF(A11="","",A11-Protocol!$B$3+1)</f>
        <v/>
      </c>
      <c r="C11" s="6"/>
      <c r="D11" s="7"/>
      <c r="E11" s="7"/>
      <c r="F11" s="8" t="str">
        <f t="shared" si="0"/>
        <v/>
      </c>
      <c r="G11" s="6"/>
      <c r="H11" s="6"/>
      <c r="I11" s="6"/>
      <c r="J11" s="6"/>
    </row>
    <row r="12" spans="1:10">
      <c r="A12" s="4"/>
      <c r="B12" s="5" t="str">
        <f>IF(A12="","",A12-Protocol!$B$3+1)</f>
        <v/>
      </c>
      <c r="C12" s="6"/>
      <c r="D12" s="7"/>
      <c r="E12" s="7"/>
      <c r="F12" s="8" t="str">
        <f t="shared" si="0"/>
        <v/>
      </c>
      <c r="G12" s="6"/>
      <c r="H12" s="6"/>
      <c r="I12" s="6"/>
      <c r="J12" s="6"/>
    </row>
    <row r="13" spans="1:10">
      <c r="A13" s="4"/>
      <c r="B13" s="5" t="str">
        <f>IF(A13="","",A13-Protocol!$B$3+1)</f>
        <v/>
      </c>
      <c r="C13" s="6"/>
      <c r="D13" s="7"/>
      <c r="E13" s="7"/>
      <c r="F13" s="8" t="str">
        <f t="shared" si="0"/>
        <v/>
      </c>
      <c r="G13" s="6"/>
      <c r="H13" s="6"/>
      <c r="I13" s="6"/>
      <c r="J13" s="6"/>
    </row>
    <row r="14" spans="1:10">
      <c r="A14" s="4"/>
      <c r="B14" s="5" t="str">
        <f>IF(A14="","",A14-Protocol!$B$3+1)</f>
        <v/>
      </c>
      <c r="C14" s="6"/>
      <c r="D14" s="7"/>
      <c r="E14" s="7"/>
      <c r="F14" s="8" t="str">
        <f t="shared" si="0"/>
        <v/>
      </c>
      <c r="G14" s="6"/>
      <c r="H14" s="6"/>
      <c r="I14" s="6"/>
      <c r="J14" s="6"/>
    </row>
    <row r="15" spans="1:10">
      <c r="A15" s="4"/>
      <c r="B15" s="5" t="str">
        <f>IF(A15="","",A15-Protocol!$B$3+1)</f>
        <v/>
      </c>
      <c r="C15" s="6"/>
      <c r="D15" s="7"/>
      <c r="E15" s="7"/>
      <c r="F15" s="8" t="str">
        <f t="shared" si="0"/>
        <v/>
      </c>
      <c r="G15" s="6"/>
      <c r="H15" s="6"/>
      <c r="I15" s="6"/>
      <c r="J15" s="6"/>
    </row>
    <row r="16" spans="1:10">
      <c r="A16" s="4"/>
      <c r="B16" s="5" t="str">
        <f>IF(A16="","",A16-Protocol!$B$3+1)</f>
        <v/>
      </c>
      <c r="C16" s="6"/>
      <c r="D16" s="7"/>
      <c r="E16" s="7"/>
      <c r="F16" s="8" t="str">
        <f t="shared" si="0"/>
        <v/>
      </c>
      <c r="G16" s="6"/>
      <c r="H16" s="6"/>
      <c r="I16" s="6"/>
      <c r="J16" s="6"/>
    </row>
    <row r="17" spans="1:10">
      <c r="A17" s="4"/>
      <c r="B17" s="5" t="str">
        <f>IF(A17="","",A17-Protocol!$B$3+1)</f>
        <v/>
      </c>
      <c r="C17" s="6"/>
      <c r="D17" s="7"/>
      <c r="E17" s="7"/>
      <c r="F17" s="8" t="str">
        <f t="shared" si="0"/>
        <v/>
      </c>
      <c r="G17" s="6"/>
      <c r="H17" s="6"/>
      <c r="I17" s="6"/>
      <c r="J17" s="6"/>
    </row>
    <row r="18" spans="1:10">
      <c r="A18" s="4"/>
      <c r="B18" s="5" t="str">
        <f>IF(A18="","",A18-Protocol!$B$3+1)</f>
        <v/>
      </c>
      <c r="C18" s="6"/>
      <c r="D18" s="7"/>
      <c r="E18" s="7"/>
      <c r="F18" s="8" t="str">
        <f t="shared" si="0"/>
        <v/>
      </c>
      <c r="G18" s="6"/>
      <c r="H18" s="6"/>
      <c r="I18" s="6"/>
      <c r="J18" s="6"/>
    </row>
    <row r="19" spans="1:10">
      <c r="A19" s="4"/>
      <c r="B19" s="5" t="str">
        <f>IF(A19="","",A19-Protocol!$B$3+1)</f>
        <v/>
      </c>
      <c r="C19" s="6"/>
      <c r="D19" s="7"/>
      <c r="E19" s="7"/>
      <c r="F19" s="8" t="str">
        <f t="shared" si="0"/>
        <v/>
      </c>
      <c r="G19" s="6"/>
      <c r="H19" s="6"/>
      <c r="I19" s="6"/>
      <c r="J19" s="6"/>
    </row>
    <row r="20" spans="1:10">
      <c r="A20" s="4"/>
      <c r="B20" s="5" t="str">
        <f>IF(A20="","",A20-Protocol!$B$3+1)</f>
        <v/>
      </c>
      <c r="C20" s="6"/>
      <c r="D20" s="7"/>
      <c r="E20" s="7"/>
      <c r="F20" s="8" t="str">
        <f t="shared" si="0"/>
        <v/>
      </c>
      <c r="G20" s="6"/>
      <c r="H20" s="6"/>
      <c r="I20" s="6"/>
      <c r="J20" s="6"/>
    </row>
    <row r="21" spans="1:10">
      <c r="A21" s="4"/>
      <c r="B21" s="5" t="str">
        <f>IF(A21="","",A21-Protocol!$B$3+1)</f>
        <v/>
      </c>
      <c r="C21" s="6"/>
      <c r="D21" s="7"/>
      <c r="E21" s="7"/>
      <c r="F21" s="8" t="str">
        <f t="shared" si="0"/>
        <v/>
      </c>
      <c r="G21" s="6"/>
      <c r="H21" s="6"/>
      <c r="I21" s="6"/>
      <c r="J21" s="6"/>
    </row>
    <row r="22" spans="1:10">
      <c r="A22" s="4"/>
      <c r="B22" s="5" t="str">
        <f>IF(A22="","",A22-Protocol!$B$3+1)</f>
        <v/>
      </c>
      <c r="C22" s="6"/>
      <c r="D22" s="7"/>
      <c r="E22" s="7"/>
      <c r="F22" s="8" t="str">
        <f t="shared" si="0"/>
        <v/>
      </c>
      <c r="G22" s="6"/>
      <c r="H22" s="6"/>
      <c r="I22" s="6"/>
      <c r="J22" s="6"/>
    </row>
    <row r="23" spans="1:10">
      <c r="A23" s="4"/>
      <c r="B23" s="5" t="str">
        <f>IF(A23="","",A23-Protocol!$B$3+1)</f>
        <v/>
      </c>
      <c r="C23" s="6"/>
      <c r="D23" s="7"/>
      <c r="E23" s="7"/>
      <c r="F23" s="8" t="str">
        <f t="shared" si="0"/>
        <v/>
      </c>
      <c r="G23" s="6"/>
      <c r="H23" s="6"/>
      <c r="I23" s="6"/>
      <c r="J23" s="6"/>
    </row>
    <row r="24" spans="1:10">
      <c r="A24" s="4"/>
      <c r="B24" s="5" t="str">
        <f>IF(A24="","",A24-Protocol!$B$3+1)</f>
        <v/>
      </c>
      <c r="C24" s="6"/>
      <c r="D24" s="7"/>
      <c r="E24" s="7"/>
      <c r="F24" s="8" t="str">
        <f t="shared" si="0"/>
        <v/>
      </c>
      <c r="G24" s="6"/>
      <c r="H24" s="6"/>
      <c r="I24" s="6"/>
      <c r="J24" s="6"/>
    </row>
    <row r="25" spans="1:10">
      <c r="A25" s="4"/>
      <c r="B25" s="5" t="str">
        <f>IF(A25="","",A25-Protocol!$B$3+1)</f>
        <v/>
      </c>
      <c r="C25" s="6"/>
      <c r="D25" s="7"/>
      <c r="E25" s="7"/>
      <c r="F25" s="8" t="str">
        <f t="shared" si="0"/>
        <v/>
      </c>
      <c r="G25" s="6"/>
      <c r="H25" s="6"/>
      <c r="I25" s="6"/>
      <c r="J25" s="6"/>
    </row>
    <row r="26" spans="1:10">
      <c r="A26" s="4"/>
      <c r="B26" s="5" t="str">
        <f>IF(A26="","",A26-Protocol!$B$3+1)</f>
        <v/>
      </c>
      <c r="C26" s="6"/>
      <c r="D26" s="7"/>
      <c r="E26" s="7"/>
      <c r="F26" s="8" t="str">
        <f t="shared" si="0"/>
        <v/>
      </c>
      <c r="G26" s="6"/>
      <c r="H26" s="6"/>
      <c r="I26" s="6"/>
      <c r="J26" s="6"/>
    </row>
    <row r="27" spans="1:10">
      <c r="A27" s="4"/>
      <c r="B27" s="5" t="str">
        <f>IF(A27="","",A27-Protocol!$B$3+1)</f>
        <v/>
      </c>
      <c r="C27" s="6"/>
      <c r="D27" s="7"/>
      <c r="E27" s="7"/>
      <c r="F27" s="8" t="str">
        <f t="shared" si="0"/>
        <v/>
      </c>
      <c r="G27" s="6"/>
      <c r="H27" s="6"/>
      <c r="I27" s="6"/>
      <c r="J27" s="6"/>
    </row>
    <row r="28" spans="1:10">
      <c r="A28" s="4"/>
      <c r="B28" s="5" t="str">
        <f>IF(A28="","",A28-Protocol!$B$3+1)</f>
        <v/>
      </c>
      <c r="C28" s="6"/>
      <c r="D28" s="7"/>
      <c r="E28" s="7"/>
      <c r="F28" s="8" t="str">
        <f t="shared" si="0"/>
        <v/>
      </c>
      <c r="G28" s="6"/>
      <c r="H28" s="6"/>
      <c r="I28" s="6"/>
      <c r="J28" s="6"/>
    </row>
    <row r="29" spans="1:10">
      <c r="A29" s="4"/>
      <c r="B29" s="5" t="str">
        <f>IF(A29="","",A29-Protocol!$B$3+1)</f>
        <v/>
      </c>
      <c r="C29" s="6"/>
      <c r="D29" s="7"/>
      <c r="E29" s="7"/>
      <c r="F29" s="8" t="str">
        <f t="shared" si="0"/>
        <v/>
      </c>
      <c r="G29" s="6"/>
      <c r="H29" s="6"/>
      <c r="I29" s="6"/>
      <c r="J29" s="6"/>
    </row>
    <row r="30" spans="1:10">
      <c r="A30" s="4"/>
      <c r="B30" s="5" t="str">
        <f>IF(A30="","",A30-Protocol!$B$3+1)</f>
        <v/>
      </c>
      <c r="C30" s="6"/>
      <c r="D30" s="7"/>
      <c r="E30" s="7"/>
      <c r="F30" s="8" t="str">
        <f t="shared" si="0"/>
        <v/>
      </c>
      <c r="G30" s="6"/>
      <c r="H30" s="6"/>
      <c r="I30" s="6"/>
      <c r="J30" s="6"/>
    </row>
    <row r="31" spans="1:10">
      <c r="A31" s="4"/>
      <c r="B31" s="5" t="str">
        <f>IF(A31="","",A31-Protocol!$B$3+1)</f>
        <v/>
      </c>
      <c r="C31" s="6"/>
      <c r="D31" s="7"/>
      <c r="E31" s="7"/>
      <c r="F31" s="8" t="str">
        <f t="shared" si="0"/>
        <v/>
      </c>
      <c r="G31" s="6"/>
      <c r="H31" s="6"/>
      <c r="I31" s="6"/>
      <c r="J31" s="6"/>
    </row>
    <row r="32" spans="1:10">
      <c r="A32" s="4"/>
      <c r="B32" s="5" t="str">
        <f>IF(A32="","",A32-Protocol!$B$3+1)</f>
        <v/>
      </c>
      <c r="C32" s="6"/>
      <c r="D32" s="7"/>
      <c r="E32" s="7"/>
      <c r="F32" s="8" t="str">
        <f t="shared" si="0"/>
        <v/>
      </c>
      <c r="G32" s="6"/>
      <c r="H32" s="6"/>
      <c r="I32" s="6"/>
      <c r="J32" s="6"/>
    </row>
    <row r="33" spans="1:10">
      <c r="A33" s="4"/>
      <c r="B33" s="5" t="str">
        <f>IF(A33="","",A33-Protocol!$B$3+1)</f>
        <v/>
      </c>
      <c r="C33" s="6"/>
      <c r="D33" s="7"/>
      <c r="E33" s="7"/>
      <c r="F33" s="8" t="str">
        <f t="shared" si="0"/>
        <v/>
      </c>
      <c r="G33" s="6"/>
      <c r="H33" s="6"/>
      <c r="I33" s="6"/>
      <c r="J33" s="6"/>
    </row>
    <row r="34" spans="1:10">
      <c r="A34" s="4"/>
      <c r="B34" s="5" t="str">
        <f>IF(A34="","",A34-Protocol!$B$3+1)</f>
        <v/>
      </c>
      <c r="C34" s="6"/>
      <c r="D34" s="7"/>
      <c r="E34" s="7"/>
      <c r="F34" s="8" t="str">
        <f t="shared" si="0"/>
        <v/>
      </c>
      <c r="G34" s="6"/>
      <c r="H34" s="6"/>
      <c r="I34" s="6"/>
      <c r="J34" s="6"/>
    </row>
    <row r="35" spans="1:10">
      <c r="A35" s="4"/>
      <c r="B35" s="5" t="str">
        <f>IF(A35="","",A35-Protocol!$B$3+1)</f>
        <v/>
      </c>
      <c r="C35" s="6"/>
      <c r="D35" s="7"/>
      <c r="E35" s="7"/>
      <c r="F35" s="8" t="str">
        <f t="shared" si="0"/>
        <v/>
      </c>
      <c r="G35" s="6"/>
      <c r="H35" s="6"/>
      <c r="I35" s="6"/>
      <c r="J35" s="6"/>
    </row>
    <row r="36" spans="1:10">
      <c r="A36" s="4"/>
      <c r="B36" s="5" t="str">
        <f>IF(A36="","",A36-Protocol!$B$3+1)</f>
        <v/>
      </c>
      <c r="C36" s="6"/>
      <c r="D36" s="7"/>
      <c r="E36" s="7"/>
      <c r="F36" s="8" t="str">
        <f t="shared" si="0"/>
        <v/>
      </c>
      <c r="G36" s="6"/>
      <c r="H36" s="6"/>
      <c r="I36" s="6"/>
      <c r="J36" s="6"/>
    </row>
    <row r="37" spans="1:10">
      <c r="A37" s="4"/>
      <c r="B37" s="5" t="str">
        <f>IF(A37="","",A37-Protocol!$B$3+1)</f>
        <v/>
      </c>
      <c r="C37" s="6"/>
      <c r="D37" s="7"/>
      <c r="E37" s="7"/>
      <c r="F37" s="8" t="str">
        <f t="shared" ref="F37:F64" si="1">IF(OR(D37&lt;&gt;"",E37&lt;&gt;""),SUM(D37:E37),"")</f>
        <v/>
      </c>
      <c r="G37" s="6"/>
      <c r="H37" s="6"/>
      <c r="I37" s="6"/>
      <c r="J37" s="6"/>
    </row>
    <row r="38" spans="1:10">
      <c r="A38" s="4"/>
      <c r="B38" s="5" t="str">
        <f>IF(A38="","",A38-Protocol!$B$3+1)</f>
        <v/>
      </c>
      <c r="C38" s="6"/>
      <c r="D38" s="7"/>
      <c r="E38" s="7"/>
      <c r="F38" s="8" t="str">
        <f t="shared" si="1"/>
        <v/>
      </c>
      <c r="G38" s="6"/>
      <c r="H38" s="6"/>
      <c r="I38" s="6"/>
      <c r="J38" s="6"/>
    </row>
    <row r="39" spans="1:10">
      <c r="A39" s="4"/>
      <c r="B39" s="5" t="str">
        <f>IF(A39="","",A39-Protocol!$B$3+1)</f>
        <v/>
      </c>
      <c r="C39" s="6"/>
      <c r="D39" s="7"/>
      <c r="E39" s="7"/>
      <c r="F39" s="8" t="str">
        <f t="shared" si="1"/>
        <v/>
      </c>
      <c r="G39" s="6"/>
      <c r="H39" s="6"/>
      <c r="I39" s="6"/>
      <c r="J39" s="6"/>
    </row>
    <row r="40" spans="1:10">
      <c r="A40" s="4"/>
      <c r="B40" s="5" t="str">
        <f>IF(A40="","",A40-Protocol!$B$3+1)</f>
        <v/>
      </c>
      <c r="C40" s="6"/>
      <c r="D40" s="7"/>
      <c r="E40" s="7"/>
      <c r="F40" s="8" t="str">
        <f t="shared" si="1"/>
        <v/>
      </c>
      <c r="G40" s="6"/>
      <c r="H40" s="6"/>
      <c r="I40" s="6"/>
      <c r="J40" s="6"/>
    </row>
    <row r="41" spans="1:10">
      <c r="A41" s="4"/>
      <c r="B41" s="5" t="str">
        <f>IF(A41="","",A41-Protocol!$B$3+1)</f>
        <v/>
      </c>
      <c r="C41" s="6"/>
      <c r="D41" s="7"/>
      <c r="E41" s="7"/>
      <c r="F41" s="8" t="str">
        <f t="shared" si="1"/>
        <v/>
      </c>
      <c r="G41" s="6"/>
      <c r="H41" s="6"/>
      <c r="I41" s="6"/>
      <c r="J41" s="6"/>
    </row>
    <row r="42" spans="1:10">
      <c r="A42" s="4"/>
      <c r="B42" s="5" t="str">
        <f>IF(A42="","",A42-Protocol!$B$3+1)</f>
        <v/>
      </c>
      <c r="C42" s="6"/>
      <c r="D42" s="7"/>
      <c r="E42" s="7"/>
      <c r="F42" s="8" t="str">
        <f t="shared" si="1"/>
        <v/>
      </c>
      <c r="G42" s="6"/>
      <c r="H42" s="6"/>
      <c r="I42" s="6"/>
      <c r="J42" s="6"/>
    </row>
    <row r="43" spans="1:10">
      <c r="A43" s="4"/>
      <c r="B43" s="5" t="str">
        <f>IF(A43="","",A43-Protocol!$B$3+1)</f>
        <v/>
      </c>
      <c r="C43" s="6"/>
      <c r="D43" s="7"/>
      <c r="E43" s="7"/>
      <c r="F43" s="8" t="str">
        <f t="shared" si="1"/>
        <v/>
      </c>
      <c r="G43" s="6"/>
      <c r="H43" s="6"/>
      <c r="I43" s="6"/>
      <c r="J43" s="6"/>
    </row>
    <row r="44" spans="1:10">
      <c r="A44" s="4"/>
      <c r="B44" s="5" t="str">
        <f>IF(A44="","",A44-Protocol!$B$3+1)</f>
        <v/>
      </c>
      <c r="C44" s="6"/>
      <c r="D44" s="7"/>
      <c r="E44" s="7"/>
      <c r="F44" s="8" t="str">
        <f t="shared" si="1"/>
        <v/>
      </c>
      <c r="G44" s="6"/>
      <c r="H44" s="6"/>
      <c r="I44" s="6"/>
      <c r="J44" s="6"/>
    </row>
    <row r="45" spans="1:10">
      <c r="A45" s="4"/>
      <c r="B45" s="5" t="str">
        <f>IF(A45="","",A45-Protocol!$B$3+1)</f>
        <v/>
      </c>
      <c r="C45" s="6"/>
      <c r="D45" s="7"/>
      <c r="E45" s="7"/>
      <c r="F45" s="8" t="str">
        <f t="shared" si="1"/>
        <v/>
      </c>
      <c r="G45" s="6"/>
      <c r="H45" s="6"/>
      <c r="I45" s="6"/>
      <c r="J45" s="6"/>
    </row>
    <row r="46" spans="1:10">
      <c r="A46" s="4"/>
      <c r="B46" s="5" t="str">
        <f>IF(A46="","",A46-Protocol!$B$3+1)</f>
        <v/>
      </c>
      <c r="C46" s="6"/>
      <c r="D46" s="7"/>
      <c r="E46" s="7"/>
      <c r="F46" s="8" t="str">
        <f t="shared" si="1"/>
        <v/>
      </c>
      <c r="G46" s="6"/>
      <c r="H46" s="6"/>
      <c r="I46" s="6"/>
      <c r="J46" s="6"/>
    </row>
    <row r="47" spans="1:10">
      <c r="A47" s="4"/>
      <c r="B47" s="5" t="str">
        <f>IF(A47="","",A47-Protocol!$B$3+1)</f>
        <v/>
      </c>
      <c r="C47" s="6"/>
      <c r="D47" s="7"/>
      <c r="E47" s="7"/>
      <c r="F47" s="8" t="str">
        <f t="shared" si="1"/>
        <v/>
      </c>
      <c r="G47" s="6"/>
      <c r="H47" s="6"/>
      <c r="I47" s="6"/>
      <c r="J47" s="6"/>
    </row>
    <row r="48" spans="1:10">
      <c r="A48" s="4"/>
      <c r="B48" s="5" t="str">
        <f>IF(A48="","",A48-Protocol!$B$3+1)</f>
        <v/>
      </c>
      <c r="C48" s="6"/>
      <c r="D48" s="7"/>
      <c r="E48" s="7"/>
      <c r="F48" s="8" t="str">
        <f t="shared" si="1"/>
        <v/>
      </c>
      <c r="G48" s="6"/>
      <c r="H48" s="6"/>
      <c r="I48" s="6"/>
      <c r="J48" s="6"/>
    </row>
    <row r="49" spans="1:10">
      <c r="A49" s="4"/>
      <c r="B49" s="5" t="str">
        <f>IF(A49="","",A49-Protocol!$B$3+1)</f>
        <v/>
      </c>
      <c r="C49" s="6"/>
      <c r="D49" s="7"/>
      <c r="E49" s="7"/>
      <c r="F49" s="8" t="str">
        <f t="shared" si="1"/>
        <v/>
      </c>
      <c r="G49" s="6"/>
      <c r="H49" s="6"/>
      <c r="I49" s="6"/>
      <c r="J49" s="6"/>
    </row>
    <row r="50" spans="1:10">
      <c r="A50" s="4"/>
      <c r="B50" s="5" t="str">
        <f>IF(A50="","",A50-Protocol!$B$3+1)</f>
        <v/>
      </c>
      <c r="C50" s="6"/>
      <c r="D50" s="7"/>
      <c r="E50" s="7"/>
      <c r="F50" s="8" t="str">
        <f t="shared" si="1"/>
        <v/>
      </c>
      <c r="G50" s="6"/>
      <c r="H50" s="6"/>
      <c r="I50" s="6"/>
      <c r="J50" s="6"/>
    </row>
    <row r="51" spans="1:10">
      <c r="A51" s="4"/>
      <c r="B51" s="5" t="str">
        <f>IF(A51="","",A51-Protocol!$B$3+1)</f>
        <v/>
      </c>
      <c r="C51" s="6"/>
      <c r="D51" s="7"/>
      <c r="E51" s="7"/>
      <c r="F51" s="8" t="str">
        <f t="shared" si="1"/>
        <v/>
      </c>
      <c r="G51" s="6"/>
      <c r="H51" s="6"/>
      <c r="I51" s="6"/>
      <c r="J51" s="6"/>
    </row>
    <row r="52" spans="1:10">
      <c r="A52" s="4"/>
      <c r="B52" s="5" t="str">
        <f>IF(A52="","",A52-Protocol!$B$3+1)</f>
        <v/>
      </c>
      <c r="C52" s="6"/>
      <c r="D52" s="7"/>
      <c r="E52" s="7"/>
      <c r="F52" s="8" t="str">
        <f t="shared" si="1"/>
        <v/>
      </c>
      <c r="G52" s="6"/>
      <c r="H52" s="6"/>
      <c r="I52" s="6"/>
      <c r="J52" s="6"/>
    </row>
    <row r="53" spans="1:10">
      <c r="A53" s="4"/>
      <c r="B53" s="5" t="str">
        <f>IF(A53="","",A53-Protocol!$B$3+1)</f>
        <v/>
      </c>
      <c r="C53" s="6"/>
      <c r="D53" s="7"/>
      <c r="E53" s="7"/>
      <c r="F53" s="8" t="str">
        <f t="shared" si="1"/>
        <v/>
      </c>
      <c r="G53" s="6"/>
      <c r="H53" s="6"/>
      <c r="I53" s="6"/>
      <c r="J53" s="6"/>
    </row>
    <row r="54" spans="1:10">
      <c r="A54" s="4"/>
      <c r="B54" s="5" t="str">
        <f>IF(A54="","",A54-Protocol!$B$3+1)</f>
        <v/>
      </c>
      <c r="C54" s="6"/>
      <c r="D54" s="7"/>
      <c r="E54" s="7"/>
      <c r="F54" s="8" t="str">
        <f t="shared" si="1"/>
        <v/>
      </c>
      <c r="G54" s="6"/>
      <c r="H54" s="6"/>
      <c r="I54" s="6"/>
      <c r="J54" s="6"/>
    </row>
    <row r="55" spans="1:10">
      <c r="A55" s="4"/>
      <c r="B55" s="5" t="str">
        <f>IF(A55="","",A55-Protocol!$B$3+1)</f>
        <v/>
      </c>
      <c r="C55" s="6"/>
      <c r="D55" s="7"/>
      <c r="E55" s="7"/>
      <c r="F55" s="8" t="str">
        <f t="shared" si="1"/>
        <v/>
      </c>
      <c r="G55" s="6"/>
      <c r="H55" s="6"/>
      <c r="I55" s="6"/>
      <c r="J55" s="6"/>
    </row>
    <row r="56" spans="1:10">
      <c r="A56" s="4"/>
      <c r="B56" s="5" t="str">
        <f>IF(A56="","",A56-Protocol!$B$3+1)</f>
        <v/>
      </c>
      <c r="C56" s="6"/>
      <c r="D56" s="7"/>
      <c r="E56" s="7"/>
      <c r="F56" s="8" t="str">
        <f t="shared" si="1"/>
        <v/>
      </c>
      <c r="G56" s="6"/>
      <c r="H56" s="6"/>
      <c r="I56" s="6"/>
      <c r="J56" s="6"/>
    </row>
    <row r="57" spans="1:10">
      <c r="A57" s="4"/>
      <c r="B57" s="5" t="str">
        <f>IF(A57="","",A57-Protocol!$B$3+1)</f>
        <v/>
      </c>
      <c r="C57" s="6"/>
      <c r="D57" s="7"/>
      <c r="E57" s="7"/>
      <c r="F57" s="8" t="str">
        <f t="shared" si="1"/>
        <v/>
      </c>
      <c r="G57" s="6"/>
      <c r="H57" s="6"/>
      <c r="I57" s="6"/>
      <c r="J57" s="6"/>
    </row>
    <row r="58" spans="1:10">
      <c r="A58" s="4"/>
      <c r="B58" s="5" t="str">
        <f>IF(A58="","",A58-Protocol!$B$3+1)</f>
        <v/>
      </c>
      <c r="C58" s="6"/>
      <c r="D58" s="7"/>
      <c r="E58" s="7"/>
      <c r="F58" s="8" t="str">
        <f t="shared" si="1"/>
        <v/>
      </c>
      <c r="G58" s="6"/>
      <c r="H58" s="6"/>
      <c r="I58" s="6"/>
      <c r="J58" s="6"/>
    </row>
    <row r="59" spans="1:10">
      <c r="A59" s="4"/>
      <c r="B59" s="5" t="str">
        <f>IF(A59="","",A59-Protocol!$B$3+1)</f>
        <v/>
      </c>
      <c r="C59" s="6"/>
      <c r="D59" s="7"/>
      <c r="E59" s="7"/>
      <c r="F59" s="8" t="str">
        <f t="shared" si="1"/>
        <v/>
      </c>
      <c r="G59" s="6"/>
      <c r="H59" s="6"/>
      <c r="I59" s="6"/>
      <c r="J59" s="6"/>
    </row>
    <row r="60" spans="1:10">
      <c r="A60" s="4"/>
      <c r="B60" s="5" t="str">
        <f>IF(A60="","",A60-Protocol!$B$3+1)</f>
        <v/>
      </c>
      <c r="C60" s="6"/>
      <c r="D60" s="7"/>
      <c r="E60" s="7"/>
      <c r="F60" s="8" t="str">
        <f t="shared" si="1"/>
        <v/>
      </c>
      <c r="G60" s="6"/>
      <c r="H60" s="6"/>
      <c r="I60" s="6"/>
      <c r="J60" s="6"/>
    </row>
    <row r="61" spans="1:10">
      <c r="A61" s="4"/>
      <c r="B61" s="5" t="str">
        <f>IF(A61="","",A61-Protocol!$B$3+1)</f>
        <v/>
      </c>
      <c r="C61" s="6"/>
      <c r="D61" s="7"/>
      <c r="E61" s="7"/>
      <c r="F61" s="8" t="str">
        <f t="shared" si="1"/>
        <v/>
      </c>
      <c r="G61" s="6"/>
      <c r="H61" s="6"/>
      <c r="I61" s="6"/>
      <c r="J61" s="6"/>
    </row>
    <row r="62" spans="1:10">
      <c r="A62" s="4"/>
      <c r="B62" s="5" t="str">
        <f>IF(A62="","",A62-Protocol!$B$3+1)</f>
        <v/>
      </c>
      <c r="C62" s="6"/>
      <c r="D62" s="7"/>
      <c r="E62" s="7"/>
      <c r="F62" s="8" t="str">
        <f t="shared" si="1"/>
        <v/>
      </c>
      <c r="G62" s="6"/>
      <c r="H62" s="6"/>
      <c r="I62" s="6"/>
      <c r="J62" s="6"/>
    </row>
    <row r="63" spans="1:10">
      <c r="A63" s="4"/>
      <c r="B63" s="5" t="str">
        <f>IF(A63="","",A63-Protocol!$B$3+1)</f>
        <v/>
      </c>
      <c r="C63" s="6"/>
      <c r="D63" s="7"/>
      <c r="E63" s="7"/>
      <c r="F63" s="8" t="str">
        <f t="shared" si="1"/>
        <v/>
      </c>
      <c r="G63" s="6"/>
      <c r="H63" s="6"/>
      <c r="I63" s="6"/>
      <c r="J63" s="6"/>
    </row>
    <row r="64" spans="1:10">
      <c r="A64" s="4"/>
      <c r="B64" s="5" t="str">
        <f>IF(A64="","",A64-Protocol!$B$3+1)</f>
        <v/>
      </c>
      <c r="C64" s="6"/>
      <c r="D64" s="7"/>
      <c r="E64" s="7"/>
      <c r="F64" s="8" t="str">
        <f t="shared" si="1"/>
        <v/>
      </c>
      <c r="G64" s="6"/>
      <c r="H64" s="6"/>
      <c r="I64" s="6"/>
      <c r="J64" s="6"/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Dashboard</vt:lpstr>
      <vt:lpstr>Protocol</vt:lpstr>
      <vt:lpstr>Unit Plan</vt:lpstr>
      <vt:lpstr>Exercise Map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zhanwen.peng</cp:lastModifiedBy>
  <dcterms:created xsi:type="dcterms:W3CDTF">2026-04-07T02:20:00Z</dcterms:created>
  <dcterms:modified xsi:type="dcterms:W3CDTF">2026-05-29T08:04:47Z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