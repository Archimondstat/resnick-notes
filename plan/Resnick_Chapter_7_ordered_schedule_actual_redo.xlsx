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95dec29b8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chedule" sheetId="1" r:id="R27be151ae7914331"/>
    <x:sheet xmlns:r="http://schemas.openxmlformats.org/officeDocument/2006/relationships" name="Dashboard" sheetId="2" r:id="R13828c8846864d63"/>
    <x:sheet xmlns:r="http://schemas.openxmlformats.org/officeDocument/2006/relationships" name="Redo Rules" sheetId="3" r:id="R79bae5a12615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ill>
        <x:patternFill>
          <x:bgColor rgb="F8CBAD"/>
        </x:patternFill>
      </x:fill>
    </x:dxf>
    <x:dxf>
      <x:fill>
        <x:patternFill>
          <x:bgColor rgb="FFE699"/>
        </x:patternFill>
      </x:fill>
    </x:dxf>
    <x:dxf>
      <x:fill>
        <x:patternFill>
          <x:bgColor rgb="BDD7EE"/>
        </x:patternFill>
      </x:fill>
    </x:dxf>
    <x:dxf>
      <x:fill>
        <x:patternFill>
          <x:bgColor rgb="C6E0B4"/>
        </x:patternFill>
      </x:fill>
    </x:dxf>
    <x:dxf>
      <x:font>
        <x:b/>
      </x:font>
      <x:fill>
        <x:patternFill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4fb65e4ac41ad" /><Relationship Type="http://schemas.openxmlformats.org/officeDocument/2006/relationships/theme" Target="/xl/theme/theme1.xml" Id="R861f056549c749ea" /><Relationship Type="http://schemas.openxmlformats.org/officeDocument/2006/relationships/sharedStrings" Target="/xl/sharedStrings.xml" Id="R5833cb80d21e40a9" /><Relationship Type="http://schemas.openxmlformats.org/officeDocument/2006/relationships/worksheet" Target="/xl/worksheets/sheet1.xml" Id="R27be151ae7914331" /><Relationship Type="http://schemas.openxmlformats.org/officeDocument/2006/relationships/worksheet" Target="/xl/worksheets/sheet2.xml" Id="R13828c8846864d63" /><Relationship Type="http://schemas.openxmlformats.org/officeDocument/2006/relationships/worksheet" Target="/xl/worksheets/sheet3.xml" Id="R79bae5a126154146" /></Relationships>
</file>

<file path=xl/tables/table1.xml><?xml version="1.0" encoding="utf-8"?>
<x:table xmlns:x="http://schemas.openxmlformats.org/spreadsheetml/2006/main" id="1" name="MasterScheduleTable" displayName="MasterScheduleTable" ref="A1:R64" headerRowCount="1">
  <x:tableColumns count="18">
    <x:tableColumn id="1" name="Order"/>
    <x:tableColumn id="2" name="Planned Date"/>
    <x:tableColumn id="3" name="Task Type"/>
    <x:tableColumn id="4" name="Phase"/>
    <x:tableColumn id="5" name="Section(s)"/>
    <x:tableColumn id="6" name="Task"/>
    <x:tableColumn id="7" name="Exercise"/>
    <x:tableColumn id="8" name="Related Result / Reason"/>
    <x:tableColumn id="9" name="Prerequisite"/>
    <x:tableColumn id="10" name="Proceed Gate"/>
    <x:tableColumn id="11" name="Actual Start"/>
    <x:tableColumn id="12" name="Actual End"/>
    <x:tableColumn id="13" name="First-pass Status"/>
    <x:tableColumn id="14" name="Key Blocker"/>
    <x:tableColumn id="15" name="Suggested Redo Date (auto)"/>
    <x:tableColumn id="16" name="Redo Result"/>
    <x:tableColumn id="17" name="Proceed?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doRulesTable" displayName="RedoRulesTable" ref="A1:D6" headerRowCount="1">
  <x:tableColumns count="4">
    <x:tableColumn id="1" name="First-pass Status"/>
    <x:tableColumn id="2" name="Meaning"/>
    <x:tableColumn id="3" name="Recommended Action"/>
    <x:tableColumn id="4" name="Redo Offset Day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141b48c7c440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4ecf421f32414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4" hidden="0" customWidth="1"/>
    <x:col min="5" max="5" width="16" hidden="0" customWidth="1"/>
    <x:col min="6" max="6" width="50" hidden="0" customWidth="1"/>
    <x:col min="7" max="7" width="10" hidden="0" customWidth="1"/>
    <x:col min="8" max="8" width="32" hidden="0" customWidth="1"/>
    <x:col min="9" max="9" width="26" hidden="0" customWidth="1"/>
    <x:col min="10" max="10" width="28" hidden="0" customWidth="1"/>
    <x:col min="11" max="11" width="13" hidden="0" customWidth="1"/>
    <x:col min="12" max="12" width="14" hidden="0" customWidth="1"/>
    <x:col min="13" max="13" width="20" hidden="0" customWidth="1"/>
    <x:col min="14" max="14" width="28" hidden="0" customWidth="1"/>
    <x:col min="15" max="15" width="18" hidden="0" customWidth="1"/>
    <x:col min="16" max="16" width="16" hidden="0" customWidth="1"/>
    <x:col min="17" max="17" width="12" hidden="0" customWidth="1"/>
    <x:col min="18" max="18" width="10" hidden="0" customWidth="1"/>
    <x:col min="19" max="19" width="36" hidden="0" customWidth="1"/>
  </x:cols>
  <x:sheetData>
    <x:row r="1" ht="32" customHeight="1">
      <x:c r="A1" s="39" t="str">
        <x:v>Order</x:v>
      </x:c>
      <x:c r="B1" s="39" t="str">
        <x:v>Planned Date</x:v>
      </x:c>
      <x:c r="C1" s="39" t="str">
        <x:v>Task Type</x:v>
      </x:c>
      <x:c r="D1" s="39" t="str">
        <x:v>Phase</x:v>
      </x:c>
      <x:c r="E1" s="39" t="str">
        <x:v>Section(s)</x:v>
      </x:c>
      <x:c r="F1" s="39" t="str">
        <x:v>Task</x:v>
      </x:c>
      <x:c r="G1" s="39" t="str">
        <x:v>Exercise</x:v>
      </x:c>
      <x:c r="H1" s="39" t="str">
        <x:v>Related Result / Reason</x:v>
      </x:c>
      <x:c r="I1" s="39" t="str">
        <x:v>Prerequisite</x:v>
      </x:c>
      <x:c r="J1" s="39" t="str">
        <x:v>Proceed Gate</x:v>
      </x:c>
      <x:c r="K1" s="39" t="str">
        <x:v>Actual Start</x:v>
      </x:c>
      <x:c r="L1" s="39" t="str">
        <x:v>Actual End (auto)</x:v>
      </x:c>
      <x:c r="M1" s="39" t="str">
        <x:v>First-pass Status</x:v>
      </x:c>
      <x:c r="N1" s="39" t="str">
        <x:v>Key Blocker</x:v>
      </x:c>
      <x:c r="O1" s="39" t="str">
        <x:v>Suggested Redo Date (auto)</x:v>
      </x:c>
      <x:c r="P1" s="39" t="str">
        <x:v>Actual Redo Date</x:v>
      </x:c>
      <x:c r="Q1" s="39" t="str">
        <x:v>Redo Result</x:v>
      </x:c>
      <x:c r="R1" s="39" t="str">
        <x:v>Proceed?</x:v>
      </x:c>
      <x:c r="S1" s="39" t="str">
        <x:v>Notes</x:v>
      </x:c>
    </x:row>
    <x:row r="2">
      <x:c r="A2" s="17" t="n">
        <x:v>1</x:v>
      </x:c>
      <x:c r="B2" s="18" t="n">
        <x:v>46177</x:v>
      </x:c>
      <x:c r="C2" s="17" t="str">
        <x:v>Read</x:v>
      </x:c>
      <x:c r="D2" s="17" t="str">
        <x:v>A. WLLN foundation</x:v>
      </x:c>
      <x:c r="E2" s="17" t="str">
        <x:v>7.1</x:v>
      </x:c>
      <x:c r="F2" s="17" t="str">
        <x:v>Read: truncation and tail equivalence. Make a one-page note: what changes after truncation and what remains equivalent.</x:v>
      </x:c>
      <x:c r="G2" s="17"/>
      <x:c r="H2" s="17"/>
      <x:c r="I2" s="17" t="str">
        <x:v>Start of Chapter 7</x:v>
      </x:c>
      <x:c r="J2" s="17"/>
      <x:c r="K2" s="18"/>
      <x:c r="L2" s="18" t="str">
        <x:f>IF($P2&lt;&gt;"",$P2,"")</x:f>
      </x:c>
      <x:c r="M2" s="17"/>
      <x:c r="N2" s="17"/>
      <x:c r="O2" s="18" t="str">
        <x:f>IF(AND($C2="Exercise",$K2&lt;&gt;"",$M2&lt;&gt;""),$K2+VLOOKUP($M2,'Redo Rules'!$A$2:$D$5,4,FALSE),"")</x:f>
      </x:c>
      <x:c r="P2" s="18"/>
      <x:c r="Q2" s="17"/>
      <x:c r="R2" s="17"/>
      <x:c r="S2" s="12"/>
    </x:row>
    <x:row r="3">
      <x:c r="A3" s="17" t="n">
        <x:v>2</x:v>
      </x:c>
      <x:c r="B3" s="18" t="n">
        <x:v>46178</x:v>
      </x:c>
      <x:c r="C3" s="17" t="str">
        <x:v>Read</x:v>
      </x:c>
      <x:c r="D3" s="17" t="str">
        <x:v>A. WLLN foundation</x:v>
      </x:c>
      <x:c r="E3" s="17" t="str">
        <x:v>7.2</x:v>
      </x:c>
      <x:c r="F3" s="17" t="str">
        <x:v>Read: General WLLN theorem. Write conditions (7.2)–(7.4) as a checklist: big jumps, truncated variance, centering.</x:v>
      </x:c>
      <x:c r="G3" s="17"/>
      <x:c r="H3" s="17"/>
      <x:c r="I3" s="17" t="str">
        <x:v>7.1 read</x:v>
      </x:c>
      <x:c r="J3" s="17"/>
      <x:c r="K3" s="18"/>
      <x:c r="L3" s="18" t="str">
        <x:f>IF($P3&lt;&gt;"",$P3,"")</x:f>
      </x:c>
      <x:c r="M3" s="17"/>
      <x:c r="N3" s="17"/>
      <x:c r="O3" s="18" t="str">
        <x:f>IF(AND($C3="Exercise",$K3&lt;&gt;"",$M3&lt;&gt;""),$K3+VLOOKUP($M3,'Redo Rules'!$A$2:$D$5,4,FALSE),"")</x:f>
      </x:c>
      <x:c r="P3" s="18"/>
      <x:c r="Q3" s="17"/>
      <x:c r="R3" s="17"/>
      <x:c r="S3" s="12"/>
    </x:row>
    <x:row r="4">
      <x:c r="A4" s="17" t="n">
        <x:v>3</x:v>
      </x:c>
      <x:c r="B4" s="18" t="n">
        <x:v>46179</x:v>
      </x:c>
      <x:c r="C4" s="17" t="str">
        <x:v>Exercise</x:v>
      </x:c>
      <x:c r="D4" s="17" t="str">
        <x:v>A. WLLN foundation</x:v>
      </x:c>
      <x:c r="E4" s="17" t="str">
        <x:v>7.2</x:v>
      </x:c>
      <x:c r="F4" s="17" t="str">
        <x:v>Do Exercise 2: sample variance consistency.</x:v>
      </x:c>
      <x:c r="G4" s="17" t="str">
        <x:v>7.2</x:v>
      </x:c>
      <x:c r="H4" s="17" t="str">
        <x:v>7.2 General WLLN / Chebyshev logic</x:v>
      </x:c>
      <x:c r="I4" s="17" t="str">
        <x:v>Finish 7.1–7.2 reading</x:v>
      </x:c>
      <x:c r="J4" s="17"/>
      <x:c r="K4" s="18"/>
      <x:c r="L4" s="18" t="str">
        <x:f>IF($P4&lt;&gt;"",$P4,"")</x:f>
      </x:c>
      <x:c r="M4" s="17"/>
      <x:c r="N4" s="17"/>
      <x:c r="O4" s="18" t="str">
        <x:f>IF(AND($C4="Exercise",$K4&lt;&gt;"",$M4&lt;&gt;""),$K4+VLOOKUP($M4,'Redo Rules'!$A$2:$D$5,4,FALSE),"")</x:f>
      </x:c>
      <x:c r="P4" s="18"/>
      <x:c r="Q4" s="17"/>
      <x:c r="R4" s="17"/>
      <x:c r="S4" s="12"/>
    </x:row>
    <x:row r="5">
      <x:c r="A5" s="17" t="n">
        <x:v>4</x:v>
      </x:c>
      <x:c r="B5" s="18" t="n">
        <x:v>46180</x:v>
      </x:c>
      <x:c r="C5" s="17" t="str">
        <x:v>Exercise</x:v>
      </x:c>
      <x:c r="D5" s="17" t="str">
        <x:v>A. WLLN foundation</x:v>
      </x:c>
      <x:c r="E5" s="17" t="str">
        <x:v>7.2</x:v>
      </x:c>
      <x:c r="F5" s="17" t="str">
        <x:v>Do Exercise 3: occupancy problem.</x:v>
      </x:c>
      <x:c r="G5" s="17" t="str">
        <x:v>7.3</x:v>
      </x:c>
      <x:c r="H5" s="17" t="str">
        <x:v>7.2 WLLN / variance computation</x:v>
      </x:c>
      <x:c r="I5" s="17" t="str">
        <x:v>Exercise 2 attempted</x:v>
      </x:c>
      <x:c r="J5" s="17"/>
      <x:c r="K5" s="18"/>
      <x:c r="L5" s="18" t="str">
        <x:f>IF($P5&lt;&gt;"",$P5,"")</x:f>
      </x:c>
      <x:c r="M5" s="17"/>
      <x:c r="N5" s="17"/>
      <x:c r="O5" s="18" t="str">
        <x:f>IF(AND($C5="Exercise",$K5&lt;&gt;"",$M5&lt;&gt;""),$K5+VLOOKUP($M5,'Redo Rules'!$A$2:$D$5,4,FALSE),"")</x:f>
      </x:c>
      <x:c r="P5" s="18"/>
      <x:c r="Q5" s="17"/>
      <x:c r="R5" s="17"/>
      <x:c r="S5" s="12"/>
    </x:row>
    <x:row r="6">
      <x:c r="A6" s="17" t="n">
        <x:v>5</x:v>
      </x:c>
      <x:c r="B6" s="18" t="n">
        <x:v>46181</x:v>
      </x:c>
      <x:c r="C6" s="17" t="str">
        <x:v>Exercise</x:v>
      </x:c>
      <x:c r="D6" s="17" t="str">
        <x:v>A. WLLN foundation</x:v>
      </x:c>
      <x:c r="E6" s="17" t="str">
        <x:v>7.2</x:v>
      </x:c>
      <x:c r="F6" s="17" t="str">
        <x:v>Do Exercise 4: Monte Carlo integration interpretation.</x:v>
      </x:c>
      <x:c r="G6" s="17" t="str">
        <x:v>7.4</x:v>
      </x:c>
      <x:c r="H6" s="17" t="str">
        <x:v>7.2 WLLN + Chapter 5 integration</x:v>
      </x:c>
      <x:c r="I6" s="17" t="str">
        <x:v>Exercise 3 attempted</x:v>
      </x:c>
      <x:c r="J6" s="17"/>
      <x:c r="K6" s="18"/>
      <x:c r="L6" s="18" t="str">
        <x:f>IF($P6&lt;&gt;"",$P6,"")</x:f>
      </x:c>
      <x:c r="M6" s="17"/>
      <x:c r="N6" s="17"/>
      <x:c r="O6" s="18" t="str">
        <x:f>IF(AND($C6="Exercise",$K6&lt;&gt;"",$M6&lt;&gt;""),$K6+VLOOKUP($M6,'Redo Rules'!$A$2:$D$5,4,FALSE),"")</x:f>
      </x:c>
      <x:c r="P6" s="18"/>
      <x:c r="Q6" s="17"/>
      <x:c r="R6" s="17"/>
      <x:c r="S6" s="12"/>
    </x:row>
    <x:row r="7">
      <x:c r="A7" s="17" t="n">
        <x:v>6</x:v>
      </x:c>
      <x:c r="B7" s="18" t="n">
        <x:v>46182</x:v>
      </x:c>
      <x:c r="C7" s="17" t="str">
        <x:v>Exercise</x:v>
      </x:c>
      <x:c r="D7" s="17" t="str">
        <x:v>A. WLLN applications</x:v>
      </x:c>
      <x:c r="E7" s="17" t="str">
        <x:v>7.2</x:v>
      </x:c>
      <x:c r="F7" s="17" t="str">
        <x:v>Do Exercise 21: exponential/gamma approximation using WLLN.</x:v>
      </x:c>
      <x:c r="G7" s="17" t="str">
        <x:v>7.21</x:v>
      </x:c>
      <x:c r="H7" s="17" t="str">
        <x:v>7.2 WLLN</x:v>
      </x:c>
      <x:c r="I7" s="17" t="str">
        <x:v>Exercise 4 attempted</x:v>
      </x:c>
      <x:c r="J7" s="17"/>
      <x:c r="K7" s="18"/>
      <x:c r="L7" s="18" t="str">
        <x:f>IF($P7&lt;&gt;"",$P7,"")</x:f>
      </x:c>
      <x:c r="M7" s="17"/>
      <x:c r="N7" s="17"/>
      <x:c r="O7" s="18" t="str">
        <x:f>IF(AND($C7="Exercise",$K7&lt;&gt;"",$M7&lt;&gt;""),$K7+VLOOKUP($M7,'Redo Rules'!$A$2:$D$5,4,FALSE),"")</x:f>
      </x:c>
      <x:c r="P7" s="18"/>
      <x:c r="Q7" s="17"/>
      <x:c r="R7" s="17"/>
      <x:c r="S7" s="12"/>
    </x:row>
    <x:row r="8">
      <x:c r="A8" s="17" t="n">
        <x:v>7</x:v>
      </x:c>
      <x:c r="B8" s="18" t="n">
        <x:v>46183</x:v>
      </x:c>
      <x:c r="C8" s="17" t="str">
        <x:v>Exercise</x:v>
      </x:c>
      <x:c r="D8" s="17" t="str">
        <x:v>A. WLLN applications</x:v>
      </x:c>
      <x:c r="E8" s="17" t="str">
        <x:v>7.2</x:v>
      </x:c>
      <x:c r="F8" s="17" t="str">
        <x:v>Do Exercise 22: WLLN and inversion of Laplace transforms.</x:v>
      </x:c>
      <x:c r="G8" s="17" t="str">
        <x:v>7.22</x:v>
      </x:c>
      <x:c r="H8" s="17" t="str">
        <x:v>7.2 WLLN</x:v>
      </x:c>
      <x:c r="I8" s="17" t="str">
        <x:v>Exercise 21 attempted</x:v>
      </x:c>
      <x:c r="J8" s="17"/>
      <x:c r="K8" s="18"/>
      <x:c r="L8" s="18" t="str">
        <x:f>IF($P8&lt;&gt;"",$P8,"")</x:f>
      </x:c>
      <x:c r="M8" s="17"/>
      <x:c r="N8" s="17"/>
      <x:c r="O8" s="18" t="str">
        <x:f>IF(AND($C8="Exercise",$K8&lt;&gt;"",$M8&lt;&gt;""),$K8+VLOOKUP($M8,'Redo Rules'!$A$2:$D$5,4,FALSE),"")</x:f>
      </x:c>
      <x:c r="P8" s="18"/>
      <x:c r="Q8" s="17"/>
      <x:c r="R8" s="17"/>
      <x:c r="S8" s="12"/>
    </x:row>
    <x:row r="9">
      <x:c r="A9" s="17" t="n">
        <x:v>8</x:v>
      </x:c>
      <x:c r="B9" s="18" t="n">
        <x:v>46184</x:v>
      </x:c>
      <x:c r="C9" s="17" t="str">
        <x:v>Exercise</x:v>
      </x:c>
      <x:c r="D9" s="17" t="str">
        <x:v>A. WLLN applications</x:v>
      </x:c>
      <x:c r="E9" s="17" t="str">
        <x:v>7.2</x:v>
      </x:c>
      <x:c r="F9" s="17" t="str">
        <x:v>Do Exercise 23: cube approximated by annulus.</x:v>
      </x:c>
      <x:c r="G9" s="17" t="str">
        <x:v>7.23</x:v>
      </x:c>
      <x:c r="H9" s="17" t="str">
        <x:v>7.2 WLLN / iid uniform</x:v>
      </x:c>
      <x:c r="I9" s="17" t="str">
        <x:v>Exercise 22 attempted</x:v>
      </x:c>
      <x:c r="J9" s="17"/>
      <x:c r="K9" s="18"/>
      <x:c r="L9" s="18" t="str">
        <x:f>IF($P9&lt;&gt;"",$P9,"")</x:f>
      </x:c>
      <x:c r="M9" s="17"/>
      <x:c r="N9" s="17"/>
      <x:c r="O9" s="18" t="str">
        <x:f>IF(AND($C9="Exercise",$K9&lt;&gt;"",$M9&lt;&gt;""),$K9+VLOOKUP($M9,'Redo Rules'!$A$2:$D$5,4,FALSE),"")</x:f>
      </x:c>
      <x:c r="P9" s="18"/>
      <x:c r="Q9" s="17"/>
      <x:c r="R9" s="17"/>
      <x:c r="S9" s="12"/>
    </x:row>
    <x:row r="10">
      <x:c r="A10" s="17" t="n">
        <x:v>9</x:v>
      </x:c>
      <x:c r="B10" s="18" t="n">
        <x:v>46185</x:v>
      </x:c>
      <x:c r="C10" s="17" t="str">
        <x:v>Exercise</x:v>
      </x:c>
      <x:c r="D10" s="17" t="str">
        <x:v>A. WLLN applications</x:v>
      </x:c>
      <x:c r="E10" s="17" t="str">
        <x:v>7.2</x:v>
      </x:c>
      <x:c r="F10" s="17" t="str">
        <x:v>Do Exercise 27: further WLLN applications.</x:v>
      </x:c>
      <x:c r="G10" s="17" t="str">
        <x:v>7.27</x:v>
      </x:c>
      <x:c r="H10" s="17" t="str">
        <x:v>7.2 WLLN</x:v>
      </x:c>
      <x:c r="I10" s="17" t="str">
        <x:v>Exercise 23 attempted</x:v>
      </x:c>
      <x:c r="J10" s="17"/>
      <x:c r="K10" s="18"/>
      <x:c r="L10" s="18" t="str">
        <x:f>IF($P10&lt;&gt;"",$P10,"")</x:f>
      </x:c>
      <x:c r="M10" s="17"/>
      <x:c r="N10" s="17"/>
      <x:c r="O10" s="18" t="str">
        <x:f>IF(AND($C10="Exercise",$K10&lt;&gt;"",$M10&lt;&gt;""),$K10+VLOOKUP($M10,'Redo Rules'!$A$2:$D$5,4,FALSE),"")</x:f>
      </x:c>
      <x:c r="P10" s="18"/>
      <x:c r="Q10" s="17"/>
      <x:c r="R10" s="17"/>
      <x:c r="S10" s="12"/>
    </x:row>
    <x:row r="11">
      <x:c r="A11" s="17" t="n">
        <x:v>10</x:v>
      </x:c>
      <x:c r="B11" s="18" t="n">
        <x:v>46186</x:v>
      </x:c>
      <x:c r="C11" s="17" t="str">
        <x:v>Exercise</x:v>
      </x:c>
      <x:c r="D11" s="17" t="str">
        <x:v>A. WLLN applications</x:v>
      </x:c>
      <x:c r="E11" s="17" t="str">
        <x:v>7.2</x:v>
      </x:c>
      <x:c r="F11" s="17" t="str">
        <x:v>Do Exercise 28: uncorrelated WLLN.</x:v>
      </x:c>
      <x:c r="G11" s="17" t="str">
        <x:v>7.28</x:v>
      </x:c>
      <x:c r="H11" s="17" t="str">
        <x:v>7.2 WLLN / L2 convergence</x:v>
      </x:c>
      <x:c r="I11" s="17" t="str">
        <x:v>Exercise 27 attempted</x:v>
      </x:c>
      <x:c r="J11" s="17"/>
      <x:c r="K11" s="18"/>
      <x:c r="L11" s="18" t="str">
        <x:f>IF($P11&lt;&gt;"",$P11,"")</x:f>
      </x:c>
      <x:c r="M11" s="17"/>
      <x:c r="N11" s="17"/>
      <x:c r="O11" s="18" t="str">
        <x:f>IF(AND($C11="Exercise",$K11&lt;&gt;"",$M11&lt;&gt;""),$K11+VLOOKUP($M11,'Redo Rules'!$A$2:$D$5,4,FALSE),"")</x:f>
      </x:c>
      <x:c r="P11" s="18"/>
      <x:c r="Q11" s="17"/>
      <x:c r="R11" s="17"/>
      <x:c r="S11" s="12"/>
    </x:row>
    <x:row r="12">
      <x:c r="A12" s="17" t="n">
        <x:v>11</x:v>
      </x:c>
      <x:c r="B12" s="18" t="n">
        <x:v>46187</x:v>
      </x:c>
      <x:c r="C12" s="17" t="str">
        <x:v>Gate</x:v>
      </x:c>
      <x:c r="D12" s="17" t="str">
        <x:v>A. WLLN foundation</x:v>
      </x:c>
      <x:c r="E12" s="17" t="str">
        <x:v>7.1–7.2</x:v>
      </x:c>
      <x:c r="F12" s="17" t="str">
        <x:v>Proceed gate: can you state the WLLN checklist without looking? If not, redo reading notes before Block B.</x:v>
      </x:c>
      <x:c r="G12" s="17"/>
      <x:c r="H12" s="17" t="str">
        <x:v>Gate before 7.3</x:v>
      </x:c>
      <x:c r="I12" s="17" t="str">
        <x:v>Exercises 2,3,4,21,22,23,27,28 attempted</x:v>
      </x:c>
      <x:c r="J12" s="17" t="str">
        <x:v>Proceed only if reading notes + at least first attempts are done</x:v>
      </x:c>
      <x:c r="K12" s="18"/>
      <x:c r="L12" s="18" t="str">
        <x:f>IF($P12&lt;&gt;"",$P12,"")</x:f>
      </x:c>
      <x:c r="M12" s="17"/>
      <x:c r="N12" s="17"/>
      <x:c r="O12" s="18" t="str">
        <x:f>IF(AND($C12="Exercise",$K12&lt;&gt;"",$M12&lt;&gt;""),$K12+VLOOKUP($M12,'Redo Rules'!$A$2:$D$5,4,FALSE),"")</x:f>
      </x:c>
      <x:c r="P12" s="18"/>
      <x:c r="Q12" s="17"/>
      <x:c r="R12" s="17"/>
      <x:c r="S12" s="12"/>
    </x:row>
    <x:row r="13">
      <x:c r="A13" s="17" t="n">
        <x:v>12</x:v>
      </x:c>
      <x:c r="B13" s="18" t="n">
        <x:v>46188</x:v>
      </x:c>
      <x:c r="C13" s="17" t="str">
        <x:v>Read</x:v>
      </x:c>
      <x:c r="D13" s="17" t="str">
        <x:v>B. a.s. convergence of sums</x:v>
      </x:c>
      <x:c r="E13" s="17" t="str">
        <x:v>7.3</x:v>
      </x:c>
      <x:c r="F13" s="17" t="str">
        <x:v>Read: Skorohod inequality, Kolmogorov convergence criterion, and tail/convergence logic.</x:v>
      </x:c>
      <x:c r="G13" s="17"/>
      <x:c r="H13" s="17"/>
      <x:c r="I13" s="17" t="str">
        <x:v>Block A gate passed</x:v>
      </x:c>
      <x:c r="J13" s="17"/>
      <x:c r="K13" s="18"/>
      <x:c r="L13" s="18" t="str">
        <x:f>IF($P13&lt;&gt;"",$P13,"")</x:f>
      </x:c>
      <x:c r="M13" s="17"/>
      <x:c r="N13" s="17"/>
      <x:c r="O13" s="18" t="str">
        <x:f>IF(AND($C13="Exercise",$K13&lt;&gt;"",$M13&lt;&gt;""),$K13+VLOOKUP($M13,'Redo Rules'!$A$2:$D$5,4,FALSE),"")</x:f>
      </x:c>
      <x:c r="P13" s="18"/>
      <x:c r="Q13" s="17"/>
      <x:c r="R13" s="17"/>
      <x:c r="S13" s="12"/>
    </x:row>
    <x:row r="14">
      <x:c r="A14" s="17" t="n">
        <x:v>13</x:v>
      </x:c>
      <x:c r="B14" s="18" t="n">
        <x:v>46189</x:v>
      </x:c>
      <x:c r="C14" s="17" t="str">
        <x:v>Exercise</x:v>
      </x:c>
      <x:c r="D14" s="17" t="str">
        <x:v>B. a.s. convergence of sums</x:v>
      </x:c>
      <x:c r="E14" s="17" t="str">
        <x:v>7.3</x:v>
      </x:c>
      <x:c r="F14" s="17" t="str">
        <x:v>Do Exercise 1: random signs and convergence of series.</x:v>
      </x:c>
      <x:c r="G14" s="17" t="str">
        <x:v>7.1</x:v>
      </x:c>
      <x:c r="H14" s="17" t="str">
        <x:v>7.3 series convergence / later 7.6 check</x:v>
      </x:c>
      <x:c r="I14" s="17" t="str">
        <x:v>7.3 read</x:v>
      </x:c>
      <x:c r="J14" s="17"/>
      <x:c r="K14" s="18"/>
      <x:c r="L14" s="18" t="str">
        <x:f>IF($P14&lt;&gt;"",$P14,"")</x:f>
      </x:c>
      <x:c r="M14" s="17"/>
      <x:c r="N14" s="17"/>
      <x:c r="O14" s="18" t="str">
        <x:f>IF(AND($C14="Exercise",$K14&lt;&gt;"",$M14&lt;&gt;""),$K14+VLOOKUP($M14,'Redo Rules'!$A$2:$D$5,4,FALSE),"")</x:f>
      </x:c>
      <x:c r="P14" s="18"/>
      <x:c r="Q14" s="17"/>
      <x:c r="R14" s="17"/>
      <x:c r="S14" s="12"/>
    </x:row>
    <x:row r="15">
      <x:c r="A15" s="17" t="n">
        <x:v>14</x:v>
      </x:c>
      <x:c r="B15" s="18" t="n">
        <x:v>46190</x:v>
      </x:c>
      <x:c r="C15" s="17" t="str">
        <x:v>Exercise</x:v>
      </x:c>
      <x:c r="D15" s="17" t="str">
        <x:v>B. a.s. convergence of sums</x:v>
      </x:c>
      <x:c r="E15" s="17" t="str">
        <x:v>7.3</x:v>
      </x:c>
      <x:c r="F15" s="17" t="str">
        <x:v>Do Exercise 5: L2 convergence and random signs.</x:v>
      </x:c>
      <x:c r="G15" s="17" t="str">
        <x:v>7.5</x:v>
      </x:c>
      <x:c r="H15" s="17" t="str">
        <x:v>7.3 convergence criterion</x:v>
      </x:c>
      <x:c r="I15" s="17" t="str">
        <x:v>Exercise 1 attempted</x:v>
      </x:c>
      <x:c r="J15" s="17"/>
      <x:c r="K15" s="18"/>
      <x:c r="L15" s="18" t="str">
        <x:f>IF($P15&lt;&gt;"",$P15,"")</x:f>
      </x:c>
      <x:c r="M15" s="17"/>
      <x:c r="N15" s="17"/>
      <x:c r="O15" s="18" t="str">
        <x:f>IF(AND($C15="Exercise",$K15&lt;&gt;"",$M15&lt;&gt;""),$K15+VLOOKUP($M15,'Redo Rules'!$A$2:$D$5,4,FALSE),"")</x:f>
      </x:c>
      <x:c r="P15" s="18"/>
      <x:c r="Q15" s="17"/>
      <x:c r="R15" s="17"/>
      <x:c r="S15" s="12"/>
    </x:row>
    <x:row r="16">
      <x:c r="A16" s="17" t="n">
        <x:v>15</x:v>
      </x:c>
      <x:c r="B16" s="18" t="n">
        <x:v>46191</x:v>
      </x:c>
      <x:c r="C16" s="17" t="str">
        <x:v>Exercise</x:v>
      </x:c>
      <x:c r="D16" s="17" t="str">
        <x:v>B. a.s. convergence of sums</x:v>
      </x:c>
      <x:c r="E16" s="17" t="str">
        <x:v>7.3</x:v>
      </x:c>
      <x:c r="F16" s="17" t="str">
        <x:v>Do Exercise 7: partial converse to Borel-Cantelli.</x:v>
      </x:c>
      <x:c r="G16" s="17" t="str">
        <x:v>7.7</x:v>
      </x:c>
      <x:c r="H16" s="17" t="str">
        <x:v>7.3 a.s. tools + Borel-Cantelli</x:v>
      </x:c>
      <x:c r="I16" s="17" t="str">
        <x:v>Exercise 5 attempted</x:v>
      </x:c>
      <x:c r="J16" s="17"/>
      <x:c r="K16" s="18"/>
      <x:c r="L16" s="18" t="str">
        <x:f>IF($P16&lt;&gt;"",$P16,"")</x:f>
      </x:c>
      <x:c r="M16" s="17"/>
      <x:c r="N16" s="17"/>
      <x:c r="O16" s="18" t="str">
        <x:f>IF(AND($C16="Exercise",$K16&lt;&gt;"",$M16&lt;&gt;""),$K16+VLOOKUP($M16,'Redo Rules'!$A$2:$D$5,4,FALSE),"")</x:f>
      </x:c>
      <x:c r="P16" s="18"/>
      <x:c r="Q16" s="17"/>
      <x:c r="R16" s="17"/>
      <x:c r="S16" s="12"/>
    </x:row>
    <x:row r="17">
      <x:c r="A17" s="17" t="n">
        <x:v>16</x:v>
      </x:c>
      <x:c r="B17" s="18" t="n">
        <x:v>46192</x:v>
      </x:c>
      <x:c r="C17" s="17" t="str">
        <x:v>Exercise</x:v>
      </x:c>
      <x:c r="D17" s="17" t="str">
        <x:v>B. a.s. convergence of sums</x:v>
      </x:c>
      <x:c r="E17" s="17" t="str">
        <x:v>7.3</x:v>
      </x:c>
      <x:c r="F17" s="17" t="str">
        <x:v>Do Exercise 34: normal sine series convergence.</x:v>
      </x:c>
      <x:c r="G17" s="17" t="str">
        <x:v>7.34</x:v>
      </x:c>
      <x:c r="H17" s="17" t="str">
        <x:v>7.3 Kolmogorov convergence criterion</x:v>
      </x:c>
      <x:c r="I17" s="17" t="str">
        <x:v>Exercise 7 attempted</x:v>
      </x:c>
      <x:c r="J17" s="17"/>
      <x:c r="K17" s="18"/>
      <x:c r="L17" s="18" t="str">
        <x:f>IF($P17&lt;&gt;"",$P17,"")</x:f>
      </x:c>
      <x:c r="M17" s="17"/>
      <x:c r="N17" s="17"/>
      <x:c r="O17" s="18" t="str">
        <x:f>IF(AND($C17="Exercise",$K17&lt;&gt;"",$M17&lt;&gt;""),$K17+VLOOKUP($M17,'Redo Rules'!$A$2:$D$5,4,FALSE),"")</x:f>
      </x:c>
      <x:c r="P17" s="18"/>
      <x:c r="Q17" s="17"/>
      <x:c r="R17" s="17"/>
      <x:c r="S17" s="12"/>
    </x:row>
    <x:row r="18">
      <x:c r="A18" s="17" t="n">
        <x:v>17</x:v>
      </x:c>
      <x:c r="B18" s="18" t="n">
        <x:v>46193</x:v>
      </x:c>
      <x:c r="C18" s="17" t="str">
        <x:v>Exercise</x:v>
      </x:c>
      <x:c r="D18" s="17" t="str">
        <x:v>B. a.s. convergence of sums</x:v>
      </x:c>
      <x:c r="E18" s="17" t="str">
        <x:v>7.3</x:v>
      </x:c>
      <x:c r="F18" s="17" t="str">
        <x:v>Do Exercise 38: Cantor distribution series.</x:v>
      </x:c>
      <x:c r="G18" s="17" t="str">
        <x:v>7.38</x:v>
      </x:c>
      <x:c r="H18" s="17" t="str">
        <x:v>7.3 almost sure convergence of series</x:v>
      </x:c>
      <x:c r="I18" s="17" t="str">
        <x:v>Exercise 34 attempted</x:v>
      </x:c>
      <x:c r="J18" s="17"/>
      <x:c r="K18" s="18"/>
      <x:c r="L18" s="18" t="str">
        <x:f>IF($P18&lt;&gt;"",$P18,"")</x:f>
      </x:c>
      <x:c r="M18" s="17"/>
      <x:c r="N18" s="17"/>
      <x:c r="O18" s="18" t="str">
        <x:f>IF(AND($C18="Exercise",$K18&lt;&gt;"",$M18&lt;&gt;""),$K18+VLOOKUP($M18,'Redo Rules'!$A$2:$D$5,4,FALSE),"")</x:f>
      </x:c>
      <x:c r="P18" s="18"/>
      <x:c r="Q18" s="17"/>
      <x:c r="R18" s="17"/>
      <x:c r="S18" s="12"/>
    </x:row>
    <x:row r="19">
      <x:c r="A19" s="17" t="n">
        <x:v>18</x:v>
      </x:c>
      <x:c r="B19" s="18" t="n">
        <x:v>46194</x:v>
      </x:c>
      <x:c r="C19" s="17" t="str">
        <x:v>Exercise</x:v>
      </x:c>
      <x:c r="D19" s="17" t="str">
        <x:v>B. a.s. convergence of sums</x:v>
      </x:c>
      <x:c r="E19" s="17" t="str">
        <x:v>7.3</x:v>
      </x:c>
      <x:c r="F19" s="17" t="str">
        <x:v>Do Exercise 41: bounded differences and variance condition.</x:v>
      </x:c>
      <x:c r="G19" s="17" t="str">
        <x:v>7.41</x:v>
      </x:c>
      <x:c r="H19" s="17" t="str">
        <x:v>7.3 convergence criterion</x:v>
      </x:c>
      <x:c r="I19" s="17" t="str">
        <x:v>Exercise 38 attempted</x:v>
      </x:c>
      <x:c r="J19" s="17"/>
      <x:c r="K19" s="18"/>
      <x:c r="L19" s="18" t="str">
        <x:f>IF($P19&lt;&gt;"",$P19,"")</x:f>
      </x:c>
      <x:c r="M19" s="17"/>
      <x:c r="N19" s="17"/>
      <x:c r="O19" s="18" t="str">
        <x:f>IF(AND($C19="Exercise",$K19&lt;&gt;"",$M19&lt;&gt;""),$K19+VLOOKUP($M19,'Redo Rules'!$A$2:$D$5,4,FALSE),"")</x:f>
      </x:c>
      <x:c r="P19" s="18"/>
      <x:c r="Q19" s="17"/>
      <x:c r="R19" s="17"/>
      <x:c r="S19" s="12"/>
    </x:row>
    <x:row r="20">
      <x:c r="A20" s="17" t="n">
        <x:v>19</x:v>
      </x:c>
      <x:c r="B20" s="18" t="n">
        <x:v>46195</x:v>
      </x:c>
      <x:c r="C20" s="17" t="str">
        <x:v>Exercise</x:v>
      </x:c>
      <x:c r="D20" s="17" t="str">
        <x:v>B. a.s. convergence of sums</x:v>
      </x:c>
      <x:c r="E20" s="17" t="str">
        <x:v>7.3</x:v>
      </x:c>
      <x:c r="F20" s="17" t="str">
        <x:v>Do Exercise 42: convergence from summable variances.</x:v>
      </x:c>
      <x:c r="G20" s="17" t="str">
        <x:v>7.42</x:v>
      </x:c>
      <x:c r="H20" s="17" t="str">
        <x:v>7.3 variance + Borel-Cantelli</x:v>
      </x:c>
      <x:c r="I20" s="17" t="str">
        <x:v>Exercise 41 attempted</x:v>
      </x:c>
      <x:c r="J20" s="17"/>
      <x:c r="K20" s="18"/>
      <x:c r="L20" s="18" t="str">
        <x:f>IF($P20&lt;&gt;"",$P20,"")</x:f>
      </x:c>
      <x:c r="M20" s="17"/>
      <x:c r="N20" s="17"/>
      <x:c r="O20" s="18" t="str">
        <x:f>IF(AND($C20="Exercise",$K20&lt;&gt;"",$M20&lt;&gt;""),$K20+VLOOKUP($M20,'Redo Rules'!$A$2:$D$5,4,FALSE),"")</x:f>
      </x:c>
      <x:c r="P20" s="18"/>
      <x:c r="Q20" s="17"/>
      <x:c r="R20" s="17"/>
      <x:c r="S20" s="12"/>
    </x:row>
    <x:row r="21">
      <x:c r="A21" s="17" t="n">
        <x:v>20</x:v>
      </x:c>
      <x:c r="B21" s="18" t="n">
        <x:v>46196</x:v>
      </x:c>
      <x:c r="C21" s="17" t="str">
        <x:v>Gate</x:v>
      </x:c>
      <x:c r="D21" s="17" t="str">
        <x:v>B. a.s. convergence of sums</x:v>
      </x:c>
      <x:c r="E21" s="17" t="str">
        <x:v>7.3</x:v>
      </x:c>
      <x:c r="F21" s="17" t="str">
        <x:v>Proceed gate: distinguish convergence of a series from convergence of averages. Record which theorem you used for each exercise.</x:v>
      </x:c>
      <x:c r="G21" s="17"/>
      <x:c r="H21" s="17" t="str">
        <x:v>Gate before SLLN</x:v>
      </x:c>
      <x:c r="I21" s="17" t="str">
        <x:v>Block B exercises attempted</x:v>
      </x:c>
      <x:c r="J21" s="17" t="str">
        <x:v>Proceed only if theorem usage is explicit</x:v>
      </x:c>
      <x:c r="K21" s="18"/>
      <x:c r="L21" s="18" t="str">
        <x:f>IF($P21&lt;&gt;"",$P21,"")</x:f>
      </x:c>
      <x:c r="M21" s="17"/>
      <x:c r="N21" s="17"/>
      <x:c r="O21" s="18" t="str">
        <x:f>IF(AND($C21="Exercise",$K21&lt;&gt;"",$M21&lt;&gt;""),$K21+VLOOKUP($M21,'Redo Rules'!$A$2:$D$5,4,FALSE),"")</x:f>
      </x:c>
      <x:c r="P21" s="18"/>
      <x:c r="Q21" s="17"/>
      <x:c r="R21" s="17"/>
      <x:c r="S21" s="12"/>
    </x:row>
    <x:row r="22">
      <x:c r="A22" s="17" t="n">
        <x:v>21</x:v>
      </x:c>
      <x:c r="B22" s="18" t="n">
        <x:v>46197</x:v>
      </x:c>
      <x:c r="C22" s="17" t="str">
        <x:v>Read</x:v>
      </x:c>
      <x:c r="D22" s="17" t="str">
        <x:v>C. SLLN mechanism</x:v>
      </x:c>
      <x:c r="E22" s="17" t="str">
        <x:v>7.4</x:v>
      </x:c>
      <x:c r="F22" s="17" t="str">
        <x:v>Read: Kronecker lemma and the strong law route from convergence of weighted series to normalized sums.</x:v>
      </x:c>
      <x:c r="G22" s="17"/>
      <x:c r="H22" s="17"/>
      <x:c r="I22" s="17" t="str">
        <x:v>Block B gate passed</x:v>
      </x:c>
      <x:c r="J22" s="17"/>
      <x:c r="K22" s="18"/>
      <x:c r="L22" s="18" t="str">
        <x:f>IF($P22&lt;&gt;"",$P22,"")</x:f>
      </x:c>
      <x:c r="M22" s="17"/>
      <x:c r="N22" s="17"/>
      <x:c r="O22" s="18" t="str">
        <x:f>IF(AND($C22="Exercise",$K22&lt;&gt;"",$M22&lt;&gt;""),$K22+VLOOKUP($M22,'Redo Rules'!$A$2:$D$5,4,FALSE),"")</x:f>
      </x:c>
      <x:c r="P22" s="18"/>
      <x:c r="Q22" s="17"/>
      <x:c r="R22" s="17"/>
      <x:c r="S22" s="12"/>
    </x:row>
    <x:row r="23">
      <x:c r="A23" s="17" t="n">
        <x:v>22</x:v>
      </x:c>
      <x:c r="B23" s="18" t="n">
        <x:v>46198</x:v>
      </x:c>
      <x:c r="C23" s="17" t="str">
        <x:v>Read</x:v>
      </x:c>
      <x:c r="D23" s="17" t="str">
        <x:v>C. SLLN mechanism</x:v>
      </x:c>
      <x:c r="E23" s="17" t="str">
        <x:v>7.4.1</x:v>
      </x:c>
      <x:c r="F23" s="17" t="str">
        <x:v>Read: two examples. Record how record counts and pure birth process use the preceding machinery.</x:v>
      </x:c>
      <x:c r="G23" s="17"/>
      <x:c r="H23" s="17"/>
      <x:c r="I23" s="17" t="str">
        <x:v>7.4 read</x:v>
      </x:c>
      <x:c r="J23" s="17"/>
      <x:c r="K23" s="18"/>
      <x:c r="L23" s="18" t="str">
        <x:f>IF($P23&lt;&gt;"",$P23,"")</x:f>
      </x:c>
      <x:c r="M23" s="17"/>
      <x:c r="N23" s="17"/>
      <x:c r="O23" s="18" t="str">
        <x:f>IF(AND($C23="Exercise",$K23&lt;&gt;"",$M23&lt;&gt;""),$K23+VLOOKUP($M23,'Redo Rules'!$A$2:$D$5,4,FALSE),"")</x:f>
      </x:c>
      <x:c r="P23" s="18"/>
      <x:c r="Q23" s="17"/>
      <x:c r="R23" s="17"/>
      <x:c r="S23" s="12"/>
    </x:row>
    <x:row r="24">
      <x:c r="A24" s="17" t="n">
        <x:v>23</x:v>
      </x:c>
      <x:c r="B24" s="18" t="n">
        <x:v>46199</x:v>
      </x:c>
      <x:c r="C24" s="17" t="str">
        <x:v>Exercise</x:v>
      </x:c>
      <x:c r="D24" s="17" t="str">
        <x:v>C. SLLN mechanism</x:v>
      </x:c>
      <x:c r="E24" s="17" t="str">
        <x:v>7.4</x:v>
      </x:c>
      <x:c r="F24" s="17" t="str">
        <x:v>Do Exercise 18: stronger normalization with sqrt(n) log n.</x:v>
      </x:c>
      <x:c r="G24" s="17" t="str">
        <x:v>7.18</x:v>
      </x:c>
      <x:c r="H24" s="17" t="str">
        <x:v>7.4 Kronecker / convergence criterion</x:v>
      </x:c>
      <x:c r="I24" s="17" t="str">
        <x:v>7.4 read</x:v>
      </x:c>
      <x:c r="J24" s="17"/>
      <x:c r="K24" s="18"/>
      <x:c r="L24" s="18" t="str">
        <x:f>IF($P24&lt;&gt;"",$P24,"")</x:f>
      </x:c>
      <x:c r="M24" s="17"/>
      <x:c r="N24" s="17"/>
      <x:c r="O24" s="18" t="str">
        <x:f>IF(AND($C24="Exercise",$K24&lt;&gt;"",$M24&lt;&gt;""),$K24+VLOOKUP($M24,'Redo Rules'!$A$2:$D$5,4,FALSE),"")</x:f>
      </x:c>
      <x:c r="P24" s="18"/>
      <x:c r="Q24" s="17"/>
      <x:c r="R24" s="17"/>
      <x:c r="S24" s="12"/>
    </x:row>
    <x:row r="25">
      <x:c r="A25" s="17" t="n">
        <x:v>24</x:v>
      </x:c>
      <x:c r="B25" s="18" t="n">
        <x:v>46200</x:v>
      </x:c>
      <x:c r="C25" s="17" t="str">
        <x:v>Exercise</x:v>
      </x:c>
      <x:c r="D25" s="17" t="str">
        <x:v>C. SLLN mechanism</x:v>
      </x:c>
      <x:c r="E25" s="17" t="str">
        <x:v>7.4</x:v>
      </x:c>
      <x:c r="F25" s="17" t="str">
        <x:v>Do Exercise 31: Poisson sums normalized by expectation.</x:v>
      </x:c>
      <x:c r="G25" s="17" t="str">
        <x:v>7.31</x:v>
      </x:c>
      <x:c r="H25" s="17" t="str">
        <x:v>7.4 SLLN for independent non-iid</x:v>
      </x:c>
      <x:c r="I25" s="17" t="str">
        <x:v>Exercise 18 attempted</x:v>
      </x:c>
      <x:c r="J25" s="17"/>
      <x:c r="K25" s="18"/>
      <x:c r="L25" s="18" t="str">
        <x:f>IF($P25&lt;&gt;"",$P25,"")</x:f>
      </x:c>
      <x:c r="M25" s="17"/>
      <x:c r="N25" s="17"/>
      <x:c r="O25" s="18" t="str">
        <x:f>IF(AND($C25="Exercise",$K25&lt;&gt;"",$M25&lt;&gt;""),$K25+VLOOKUP($M25,'Redo Rules'!$A$2:$D$5,4,FALSE),"")</x:f>
      </x:c>
      <x:c r="P25" s="18"/>
      <x:c r="Q25" s="17"/>
      <x:c r="R25" s="17"/>
      <x:c r="S25" s="12"/>
    </x:row>
    <x:row r="26">
      <x:c r="A26" s="17" t="n">
        <x:v>25</x:v>
      </x:c>
      <x:c r="B26" s="18" t="n">
        <x:v>46201</x:v>
      </x:c>
      <x:c r="C26" s="17" t="str">
        <x:v>Exercise</x:v>
      </x:c>
      <x:c r="D26" s="17" t="str">
        <x:v>C. SLLN mechanism</x:v>
      </x:c>
      <x:c r="E26" s="17" t="str">
        <x:v>7.4</x:v>
      </x:c>
      <x:c r="F26" s="17" t="str">
        <x:v>Do Exercise 32: max of exponentials over log n.</x:v>
      </x:c>
      <x:c r="G26" s="17" t="str">
        <x:v>7.32</x:v>
      </x:c>
      <x:c r="H26" s="17" t="str">
        <x:v>7.4 examples + Borel-Cantelli</x:v>
      </x:c>
      <x:c r="I26" s="17" t="str">
        <x:v>Exercise 31 attempted</x:v>
      </x:c>
      <x:c r="J26" s="17"/>
      <x:c r="K26" s="18"/>
      <x:c r="L26" s="18" t="str">
        <x:f>IF($P26&lt;&gt;"",$P26,"")</x:f>
      </x:c>
      <x:c r="M26" s="17"/>
      <x:c r="N26" s="17"/>
      <x:c r="O26" s="18" t="str">
        <x:f>IF(AND($C26="Exercise",$K26&lt;&gt;"",$M26&lt;&gt;""),$K26+VLOOKUP($M26,'Redo Rules'!$A$2:$D$5,4,FALSE),"")</x:f>
      </x:c>
      <x:c r="P26" s="18"/>
      <x:c r="Q26" s="17"/>
      <x:c r="R26" s="17"/>
      <x:c r="S26" s="12"/>
    </x:row>
    <x:row r="27">
      <x:c r="A27" s="17" t="n">
        <x:v>26</x:v>
      </x:c>
      <x:c r="B27" s="18" t="n">
        <x:v>46202</x:v>
      </x:c>
      <x:c r="C27" s="17" t="str">
        <x:v>Exercise</x:v>
      </x:c>
      <x:c r="D27" s="17" t="str">
        <x:v>C. SLLN mechanism</x:v>
      </x:c>
      <x:c r="E27" s="17" t="str">
        <x:v>7.4</x:v>
      </x:c>
      <x:c r="F27" s="17" t="str">
        <x:v>Do Exercise 40: a.s. convergence criterion via probability and dyadic subsequence.</x:v>
      </x:c>
      <x:c r="G27" s="17" t="str">
        <x:v>7.40</x:v>
      </x:c>
      <x:c r="H27" s="17" t="str">
        <x:v>7.4 a.s. vs i.p. bridge</x:v>
      </x:c>
      <x:c r="I27" s="17" t="str">
        <x:v>Exercise 32 attempted</x:v>
      </x:c>
      <x:c r="J27" s="17"/>
      <x:c r="K27" s="18"/>
      <x:c r="L27" s="18" t="str">
        <x:f>IF($P27&lt;&gt;"",$P27,"")</x:f>
      </x:c>
      <x:c r="M27" s="17"/>
      <x:c r="N27" s="17"/>
      <x:c r="O27" s="18" t="str">
        <x:f>IF(AND($C27="Exercise",$K27&lt;&gt;"",$M27&lt;&gt;""),$K27+VLOOKUP($M27,'Redo Rules'!$A$2:$D$5,4,FALSE),"")</x:f>
      </x:c>
      <x:c r="P27" s="18"/>
      <x:c r="Q27" s="17"/>
      <x:c r="R27" s="17"/>
      <x:c r="S27" s="12"/>
    </x:row>
    <x:row r="28">
      <x:c r="A28" s="17" t="n">
        <x:v>27</x:v>
      </x:c>
      <x:c r="B28" s="18" t="n">
        <x:v>46203</x:v>
      </x:c>
      <x:c r="C28" s="17" t="str">
        <x:v>Gate</x:v>
      </x:c>
      <x:c r="D28" s="17" t="str">
        <x:v>C. SLLN mechanism</x:v>
      </x:c>
      <x:c r="E28" s="17" t="str">
        <x:v>7.4</x:v>
      </x:c>
      <x:c r="F28" s="17" t="str">
        <x:v>Proceed gate: can you explain why Kronecker lemma is not just algebra but a device for SLLN?</x:v>
      </x:c>
      <x:c r="G28" s="17"/>
      <x:c r="H28" s="17" t="str">
        <x:v>Gate before iid SLLN</x:v>
      </x:c>
      <x:c r="I28" s="17" t="str">
        <x:v>Block C exercises attempted</x:v>
      </x:c>
      <x:c r="J28" s="17" t="str">
        <x:v>Proceed only if Kronecker role is clear</x:v>
      </x:c>
      <x:c r="K28" s="18"/>
      <x:c r="L28" s="18" t="str">
        <x:f>IF($P28&lt;&gt;"",$P28,"")</x:f>
      </x:c>
      <x:c r="M28" s="17"/>
      <x:c r="N28" s="17"/>
      <x:c r="O28" s="18" t="str">
        <x:f>IF(AND($C28="Exercise",$K28&lt;&gt;"",$M28&lt;&gt;""),$K28+VLOOKUP($M28,'Redo Rules'!$A$2:$D$5,4,FALSE),"")</x:f>
      </x:c>
      <x:c r="P28" s="18"/>
      <x:c r="Q28" s="17"/>
      <x:c r="R28" s="17"/>
      <x:c r="S28" s="12"/>
    </x:row>
    <x:row r="29">
      <x:c r="A29" s="17" t="n">
        <x:v>28</x:v>
      </x:c>
      <x:c r="B29" s="18" t="n">
        <x:v>46204</x:v>
      </x:c>
      <x:c r="C29" s="17" t="str">
        <x:v>Read</x:v>
      </x:c>
      <x:c r="D29" s="17" t="str">
        <x:v>D. iid SLLN and applications</x:v>
      </x:c>
      <x:c r="E29" s="17" t="str">
        <x:v>7.5</x:v>
      </x:c>
      <x:c r="F29" s="17" t="str">
        <x:v>Read: SLLN for iid sequences. Make an assumptions map: iid + integrability -&gt; a.s. average convergence.</x:v>
      </x:c>
      <x:c r="G29" s="17"/>
      <x:c r="H29" s="17"/>
      <x:c r="I29" s="17" t="str">
        <x:v>Block C gate passed</x:v>
      </x:c>
      <x:c r="J29" s="17"/>
      <x:c r="K29" s="18"/>
      <x:c r="L29" s="18" t="str">
        <x:f>IF($P29&lt;&gt;"",$P29,"")</x:f>
      </x:c>
      <x:c r="M29" s="17"/>
      <x:c r="N29" s="17"/>
      <x:c r="O29" s="18" t="str">
        <x:f>IF(AND($C29="Exercise",$K29&lt;&gt;"",$M29&lt;&gt;""),$K29+VLOOKUP($M29,'Redo Rules'!$A$2:$D$5,4,FALSE),"")</x:f>
      </x:c>
      <x:c r="P29" s="18"/>
      <x:c r="Q29" s="17"/>
      <x:c r="R29" s="17"/>
      <x:c r="S29" s="12"/>
    </x:row>
    <x:row r="30">
      <x:c r="A30" s="17" t="n">
        <x:v>29</x:v>
      </x:c>
      <x:c r="B30" s="18" t="n">
        <x:v>46205</x:v>
      </x:c>
      <x:c r="C30" s="17" t="str">
        <x:v>Read</x:v>
      </x:c>
      <x:c r="D30" s="17" t="str">
        <x:v>D. iid SLLN and applications</x:v>
      </x:c>
      <x:c r="E30" s="17" t="str">
        <x:v>7.5.1</x:v>
      </x:c>
      <x:c r="F30" s="17" t="str">
        <x:v>Read: applications of SLLN. Separate 'proof pattern' from 'application interpretation'.</x:v>
      </x:c>
      <x:c r="G30" s="17"/>
      <x:c r="H30" s="17"/>
      <x:c r="I30" s="17" t="str">
        <x:v>7.5 read</x:v>
      </x:c>
      <x:c r="J30" s="17"/>
      <x:c r="K30" s="18"/>
      <x:c r="L30" s="18" t="str">
        <x:f>IF($P30&lt;&gt;"",$P30,"")</x:f>
      </x:c>
      <x:c r="M30" s="17"/>
      <x:c r="N30" s="17"/>
      <x:c r="O30" s="18" t="str">
        <x:f>IF(AND($C30="Exercise",$K30&lt;&gt;"",$M30&lt;&gt;""),$K30+VLOOKUP($M30,'Redo Rules'!$A$2:$D$5,4,FALSE),"")</x:f>
      </x:c>
      <x:c r="P30" s="18"/>
      <x:c r="Q30" s="17"/>
      <x:c r="R30" s="17"/>
      <x:c r="S30" s="12"/>
    </x:row>
    <x:row r="31">
      <x:c r="A31" s="17" t="n">
        <x:v>30</x:v>
      </x:c>
      <x:c r="B31" s="18" t="n">
        <x:v>46206</x:v>
      </x:c>
      <x:c r="C31" s="17" t="str">
        <x:v>Exercise</x:v>
      </x:c>
      <x:c r="D31" s="17" t="str">
        <x:v>D. iid SLLN and applications</x:v>
      </x:c>
      <x:c r="E31" s="17" t="str">
        <x:v>7.5–7.5.1</x:v>
      </x:c>
      <x:c r="F31" s="17" t="str">
        <x:v>Do Exercise 8: SLLN plus L1 convergence via uniform integrability.</x:v>
      </x:c>
      <x:c r="G31" s="17" t="str">
        <x:v>7.8</x:v>
      </x:c>
      <x:c r="H31" s="17" t="str">
        <x:v>7.5 SLLN + Chapter 6 UI</x:v>
      </x:c>
      <x:c r="I31" s="17" t="str">
        <x:v>7.5–7.5.1 read or previous listed exercise attempted</x:v>
      </x:c>
      <x:c r="J31" s="17"/>
      <x:c r="K31" s="18"/>
      <x:c r="L31" s="18" t="str">
        <x:f>IF($P31&lt;&gt;"",$P31,"")</x:f>
      </x:c>
      <x:c r="M31" s="17"/>
      <x:c r="N31" s="17"/>
      <x:c r="O31" s="18" t="str">
        <x:f>IF(AND($C31="Exercise",$K31&lt;&gt;"",$M31&lt;&gt;""),$K31+VLOOKUP($M31,'Redo Rules'!$A$2:$D$5,4,FALSE),"")</x:f>
      </x:c>
      <x:c r="P31" s="18"/>
      <x:c r="Q31" s="17"/>
      <x:c r="R31" s="17"/>
      <x:c r="S31" s="12"/>
    </x:row>
    <x:row r="32">
      <x:c r="A32" s="17" t="n">
        <x:v>31</x:v>
      </x:c>
      <x:c r="B32" s="18" t="n">
        <x:v>46207</x:v>
      </x:c>
      <x:c r="C32" s="17" t="str">
        <x:v>Exercise</x:v>
      </x:c>
      <x:c r="D32" s="17" t="str">
        <x:v>D. iid SLLN and applications</x:v>
      </x:c>
      <x:c r="E32" s="17" t="str">
        <x:v>7.5–7.5.1</x:v>
      </x:c>
      <x:c r="F32" s="17" t="str">
        <x:v>Do Exercise 9: bounded coefficient weighted average.</x:v>
      </x:c>
      <x:c r="G32" s="17" t="str">
        <x:v>7.9</x:v>
      </x:c>
      <x:c r="H32" s="17" t="str">
        <x:v>7.5 proof of SLLN</x:v>
      </x:c>
      <x:c r="I32" s="17" t="str">
        <x:v>7.5–7.5.1 read or previous listed exercise attempted</x:v>
      </x:c>
      <x:c r="J32" s="17"/>
      <x:c r="K32" s="18"/>
      <x:c r="L32" s="18" t="str">
        <x:f>IF($P32&lt;&gt;"",$P32,"")</x:f>
      </x:c>
      <x:c r="M32" s="17"/>
      <x:c r="N32" s="17"/>
      <x:c r="O32" s="18" t="str">
        <x:f>IF(AND($C32="Exercise",$K32&lt;&gt;"",$M32&lt;&gt;""),$K32+VLOOKUP($M32,'Redo Rules'!$A$2:$D$5,4,FALSE),"")</x:f>
      </x:c>
      <x:c r="P32" s="18"/>
      <x:c r="Q32" s="17"/>
      <x:c r="R32" s="17"/>
      <x:c r="S32" s="12"/>
    </x:row>
    <x:row r="33">
      <x:c r="A33" s="17" t="n">
        <x:v>32</x:v>
      </x:c>
      <x:c r="B33" s="18" t="n">
        <x:v>46208</x:v>
      </x:c>
      <x:c r="C33" s="17" t="str">
        <x:v>Exercise</x:v>
      </x:c>
      <x:c r="D33" s="17" t="str">
        <x:v>D. iid SLLN and applications</x:v>
      </x:c>
      <x:c r="E33" s="17" t="str">
        <x:v>7.5–7.5.1</x:v>
      </x:c>
      <x:c r="F33" s="17" t="str">
        <x:v>Do Exercise 10: m-dependent sequence and block frequencies.</x:v>
      </x:c>
      <x:c r="G33" s="17" t="str">
        <x:v>7.10</x:v>
      </x:c>
      <x:c r="H33" s="17" t="str">
        <x:v>7.5 applications</x:v>
      </x:c>
      <x:c r="I33" s="17" t="str">
        <x:v>7.5–7.5.1 read or previous listed exercise attempted</x:v>
      </x:c>
      <x:c r="J33" s="17"/>
      <x:c r="K33" s="18"/>
      <x:c r="L33" s="18" t="str">
        <x:f>IF($P33&lt;&gt;"",$P33,"")</x:f>
      </x:c>
      <x:c r="M33" s="17"/>
      <x:c r="N33" s="17"/>
      <x:c r="O33" s="18" t="str">
        <x:f>IF(AND($C33="Exercise",$K33&lt;&gt;"",$M33&lt;&gt;""),$K33+VLOOKUP($M33,'Redo Rules'!$A$2:$D$5,4,FALSE),"")</x:f>
      </x:c>
      <x:c r="P33" s="18"/>
      <x:c r="Q33" s="17"/>
      <x:c r="R33" s="17"/>
      <x:c r="S33" s="12"/>
    </x:row>
    <x:row r="34">
      <x:c r="A34" s="17" t="n">
        <x:v>33</x:v>
      </x:c>
      <x:c r="B34" s="18" t="n">
        <x:v>46209</x:v>
      </x:c>
      <x:c r="C34" s="17" t="str">
        <x:v>Exercise</x:v>
      </x:c>
      <x:c r="D34" s="17" t="str">
        <x:v>D. iid SLLN and applications</x:v>
      </x:c>
      <x:c r="E34" s="17" t="str">
        <x:v>7.5–7.5.1</x:v>
      </x:c>
      <x:c r="F34" s="17" t="str">
        <x:v>Do Exercise 12: iterative uniforms and log limit.</x:v>
      </x:c>
      <x:c r="G34" s="17" t="str">
        <x:v>7.12</x:v>
      </x:c>
      <x:c r="H34" s="17" t="str">
        <x:v>7.5 SLLN transformation</x:v>
      </x:c>
      <x:c r="I34" s="17" t="str">
        <x:v>7.5–7.5.1 read or previous listed exercise attempted</x:v>
      </x:c>
      <x:c r="J34" s="17"/>
      <x:c r="K34" s="18"/>
      <x:c r="L34" s="18" t="str">
        <x:f>IF($P34&lt;&gt;"",$P34,"")</x:f>
      </x:c>
      <x:c r="M34" s="17"/>
      <x:c r="N34" s="17"/>
      <x:c r="O34" s="18" t="str">
        <x:f>IF(AND($C34="Exercise",$K34&lt;&gt;"",$M34&lt;&gt;""),$K34+VLOOKUP($M34,'Redo Rules'!$A$2:$D$5,4,FALSE),"")</x:f>
      </x:c>
      <x:c r="P34" s="18"/>
      <x:c r="Q34" s="17"/>
      <x:c r="R34" s="17"/>
      <x:c r="S34" s="12"/>
    </x:row>
    <x:row r="35">
      <x:c r="A35" s="17" t="n">
        <x:v>34</x:v>
      </x:c>
      <x:c r="B35" s="18" t="n">
        <x:v>46210</x:v>
      </x:c>
      <x:c r="C35" s="17" t="str">
        <x:v>Exercise</x:v>
      </x:c>
      <x:c r="D35" s="17" t="str">
        <x:v>D. iid SLLN and applications</x:v>
      </x:c>
      <x:c r="E35" s="17" t="str">
        <x:v>7.5–7.5.1</x:v>
      </x:c>
      <x:c r="F35" s="17" t="str">
        <x:v>Do Exercise 16: maximum term over sum with nonzero mean.</x:v>
      </x:c>
      <x:c r="G35" s="17" t="str">
        <x:v>7.16</x:v>
      </x:c>
      <x:c r="H35" s="17" t="str">
        <x:v>7.5 SLLN</x:v>
      </x:c>
      <x:c r="I35" s="17" t="str">
        <x:v>7.5–7.5.1 read or previous listed exercise attempted</x:v>
      </x:c>
      <x:c r="J35" s="17"/>
      <x:c r="K35" s="18"/>
      <x:c r="L35" s="18" t="str">
        <x:f>IF($P35&lt;&gt;"",$P35,"")</x:f>
      </x:c>
      <x:c r="M35" s="17"/>
      <x:c r="N35" s="17"/>
      <x:c r="O35" s="18" t="str">
        <x:f>IF(AND($C35="Exercise",$K35&lt;&gt;"",$M35&lt;&gt;""),$K35+VLOOKUP($M35,'Redo Rules'!$A$2:$D$5,4,FALSE),"")</x:f>
      </x:c>
      <x:c r="P35" s="18"/>
      <x:c r="Q35" s="17"/>
      <x:c r="R35" s="17"/>
      <x:c r="S35" s="12"/>
    </x:row>
    <x:row r="36">
      <x:c r="A36" s="17" t="n">
        <x:v>35</x:v>
      </x:c>
      <x:c r="B36" s="18" t="n">
        <x:v>46211</x:v>
      </x:c>
      <x:c r="C36" s="17" t="str">
        <x:v>Exercise</x:v>
      </x:c>
      <x:c r="D36" s="17" t="str">
        <x:v>D. iid SLLN and applications</x:v>
      </x:c>
      <x:c r="E36" s="17" t="str">
        <x:v>7.5–7.5.1</x:v>
      </x:c>
      <x:c r="F36" s="17" t="str">
        <x:v>Do Exercise 35: one-sided infinite mean and truncation.</x:v>
      </x:c>
      <x:c r="G36" s="17" t="str">
        <x:v>7.35</x:v>
      </x:c>
      <x:c r="H36" s="17" t="str">
        <x:v>7.5 SLLN + truncation</x:v>
      </x:c>
      <x:c r="I36" s="17" t="str">
        <x:v>7.5–7.5.1 read or previous listed exercise attempted</x:v>
      </x:c>
      <x:c r="J36" s="17"/>
      <x:c r="K36" s="18"/>
      <x:c r="L36" s="18" t="str">
        <x:f>IF($P36&lt;&gt;"",$P36,"")</x:f>
      </x:c>
      <x:c r="M36" s="17"/>
      <x:c r="N36" s="17"/>
      <x:c r="O36" s="18" t="str">
        <x:f>IF(AND($C36="Exercise",$K36&lt;&gt;"",$M36&lt;&gt;""),$K36+VLOOKUP($M36,'Redo Rules'!$A$2:$D$5,4,FALSE),"")</x:f>
      </x:c>
      <x:c r="P36" s="18"/>
      <x:c r="Q36" s="17"/>
      <x:c r="R36" s="17"/>
      <x:c r="S36" s="12"/>
    </x:row>
    <x:row r="37">
      <x:c r="A37" s="17" t="n">
        <x:v>36</x:v>
      </x:c>
      <x:c r="B37" s="18" t="n">
        <x:v>46212</x:v>
      </x:c>
      <x:c r="C37" s="17" t="str">
        <x:v>Exercise</x:v>
      </x:c>
      <x:c r="D37" s="17" t="str">
        <x:v>D. iid SLLN and applications</x:v>
      </x:c>
      <x:c r="E37" s="17" t="str">
        <x:v>7.5–7.5.1</x:v>
      </x:c>
      <x:c r="F37" s="17" t="str">
        <x:v>Do Exercise 39: independent indicators WLLN.</x:v>
      </x:c>
      <x:c r="G37" s="17" t="str">
        <x:v>7.39</x:v>
      </x:c>
      <x:c r="H37" s="17" t="str">
        <x:v>7.5 SLLN / WLLN</x:v>
      </x:c>
      <x:c r="I37" s="17" t="str">
        <x:v>7.5–7.5.1 read or previous listed exercise attempted</x:v>
      </x:c>
      <x:c r="J37" s="17"/>
      <x:c r="K37" s="18"/>
      <x:c r="L37" s="18" t="str">
        <x:f>IF($P37&lt;&gt;"",$P37,"")</x:f>
      </x:c>
      <x:c r="M37" s="17"/>
      <x:c r="N37" s="17"/>
      <x:c r="O37" s="18" t="str">
        <x:f>IF(AND($C37="Exercise",$K37&lt;&gt;"",$M37&lt;&gt;""),$K37+VLOOKUP($M37,'Redo Rules'!$A$2:$D$5,4,FALSE),"")</x:f>
      </x:c>
      <x:c r="P37" s="18"/>
      <x:c r="Q37" s="17"/>
      <x:c r="R37" s="17"/>
      <x:c r="S37" s="12"/>
    </x:row>
    <x:row r="38">
      <x:c r="A38" s="17" t="n">
        <x:v>37</x:v>
      </x:c>
      <x:c r="B38" s="18" t="n">
        <x:v>46213</x:v>
      </x:c>
      <x:c r="C38" s="17" t="str">
        <x:v>Exercise</x:v>
      </x:c>
      <x:c r="D38" s="17" t="str">
        <x:v>D. iid SLLN and applications</x:v>
      </x:c>
      <x:c r="E38" s="17" t="str">
        <x:v>7.5–7.5.1</x:v>
      </x:c>
      <x:c r="F38" s="17" t="str">
        <x:v>Do Exercise 43: Bernoulli expansion distributions and singularity.</x:v>
      </x:c>
      <x:c r="G38" s="17" t="str">
        <x:v>7.43</x:v>
      </x:c>
      <x:c r="H38" s="17" t="str">
        <x:v>7.5 SLLN</x:v>
      </x:c>
      <x:c r="I38" s="17" t="str">
        <x:v>7.5–7.5.1 read or previous listed exercise attempted</x:v>
      </x:c>
      <x:c r="J38" s="17"/>
      <x:c r="K38" s="18"/>
      <x:c r="L38" s="18" t="str">
        <x:f>IF($P38&lt;&gt;"",$P38,"")</x:f>
      </x:c>
      <x:c r="M38" s="17"/>
      <x:c r="N38" s="17"/>
      <x:c r="O38" s="18" t="str">
        <x:f>IF(AND($C38="Exercise",$K38&lt;&gt;"",$M38&lt;&gt;""),$K38+VLOOKUP($M38,'Redo Rules'!$A$2:$D$5,4,FALSE),"")</x:f>
      </x:c>
      <x:c r="P38" s="18"/>
      <x:c r="Q38" s="17"/>
      <x:c r="R38" s="17"/>
      <x:c r="S38" s="12"/>
    </x:row>
    <x:row r="39">
      <x:c r="A39" s="17" t="n">
        <x:v>38</x:v>
      </x:c>
      <x:c r="B39" s="18" t="n">
        <x:v>46214</x:v>
      </x:c>
      <x:c r="C39" s="17" t="str">
        <x:v>Exercise</x:v>
      </x:c>
      <x:c r="D39" s="17" t="str">
        <x:v>D. iid SLLN and applications</x:v>
      </x:c>
      <x:c r="E39" s="17" t="str">
        <x:v>7.5–7.5.1</x:v>
      </x:c>
      <x:c r="F39" s="17" t="str">
        <x:v>Do Exercise 44: likelihood ratio product.</x:v>
      </x:c>
      <x:c r="G39" s="17" t="str">
        <x:v>7.44</x:v>
      </x:c>
      <x:c r="H39" s="17" t="str">
        <x:v>7.5 SLLN on log likelihood ratio</x:v>
      </x:c>
      <x:c r="I39" s="17" t="str">
        <x:v>7.5–7.5.1 read or previous listed exercise attempted</x:v>
      </x:c>
      <x:c r="J39" s="17"/>
      <x:c r="K39" s="18"/>
      <x:c r="L39" s="18" t="str">
        <x:f>IF($P39&lt;&gt;"",$P39,"")</x:f>
      </x:c>
      <x:c r="M39" s="17"/>
      <x:c r="N39" s="17"/>
      <x:c r="O39" s="18" t="str">
        <x:f>IF(AND($C39="Exercise",$K39&lt;&gt;"",$M39&lt;&gt;""),$K39+VLOOKUP($M39,'Redo Rules'!$A$2:$D$5,4,FALSE),"")</x:f>
      </x:c>
      <x:c r="P39" s="18"/>
      <x:c r="Q39" s="17"/>
      <x:c r="R39" s="17"/>
      <x:c r="S39" s="12"/>
    </x:row>
    <x:row r="40">
      <x:c r="A40" s="17" t="n">
        <x:v>39</x:v>
      </x:c>
      <x:c r="B40" s="18" t="n">
        <x:v>46215</x:v>
      </x:c>
      <x:c r="C40" s="17" t="str">
        <x:v>Exercise</x:v>
      </x:c>
      <x:c r="D40" s="17" t="str">
        <x:v>D. iid SLLN and applications</x:v>
      </x:c>
      <x:c r="E40" s="17" t="str">
        <x:v>7.5–7.5.1</x:v>
      </x:c>
      <x:c r="F40" s="17" t="str">
        <x:v>Do Exercise 45: entropy from matching probability.</x:v>
      </x:c>
      <x:c r="G40" s="17" t="str">
        <x:v>7.45</x:v>
      </x:c>
      <x:c r="H40" s="17" t="str">
        <x:v>7.5 SLLN / information interpretation</x:v>
      </x:c>
      <x:c r="I40" s="17" t="str">
        <x:v>7.5–7.5.1 read or previous listed exercise attempted</x:v>
      </x:c>
      <x:c r="J40" s="17"/>
      <x:c r="K40" s="18"/>
      <x:c r="L40" s="18" t="str">
        <x:f>IF($P40&lt;&gt;"",$P40,"")</x:f>
      </x:c>
      <x:c r="M40" s="17"/>
      <x:c r="N40" s="17"/>
      <x:c r="O40" s="18" t="str">
        <x:f>IF(AND($C40="Exercise",$K40&lt;&gt;"",$M40&lt;&gt;""),$K40+VLOOKUP($M40,'Redo Rules'!$A$2:$D$5,4,FALSE),"")</x:f>
      </x:c>
      <x:c r="P40" s="18"/>
      <x:c r="Q40" s="17"/>
      <x:c r="R40" s="17"/>
      <x:c r="S40" s="12"/>
    </x:row>
    <x:row r="41">
      <x:c r="A41" s="17" t="n">
        <x:v>40</x:v>
      </x:c>
      <x:c r="B41" s="18" t="n">
        <x:v>46216</x:v>
      </x:c>
      <x:c r="C41" s="17" t="str">
        <x:v>Gate</x:v>
      </x:c>
      <x:c r="D41" s="17" t="str">
        <x:v>D. iid SLLN and applications</x:v>
      </x:c>
      <x:c r="E41" s="17" t="str">
        <x:v>7.5–7.5.1</x:v>
      </x:c>
      <x:c r="F41" s="17" t="str">
        <x:v>Proceed gate: decide for each SLLN exercise whether it is direct SLLN, transformed SLLN, or truncation + SLLN.</x:v>
      </x:c>
      <x:c r="G41" s="17"/>
      <x:c r="H41" s="17" t="str">
        <x:v>Gate before three-series</x:v>
      </x:c>
      <x:c r="I41" s="17" t="str">
        <x:v>Block D exercises attempted</x:v>
      </x:c>
      <x:c r="J41" s="17" t="str">
        <x:v>Proceed only if each exercise has a theorem label</x:v>
      </x:c>
      <x:c r="K41" s="18"/>
      <x:c r="L41" s="18" t="str">
        <x:f>IF($P41&lt;&gt;"",$P41,"")</x:f>
      </x:c>
      <x:c r="M41" s="17"/>
      <x:c r="N41" s="17"/>
      <x:c r="O41" s="18" t="str">
        <x:f>IF(AND($C41="Exercise",$K41&lt;&gt;"",$M41&lt;&gt;""),$K41+VLOOKUP($M41,'Redo Rules'!$A$2:$D$5,4,FALSE),"")</x:f>
      </x:c>
      <x:c r="P41" s="18"/>
      <x:c r="Q41" s="17"/>
      <x:c r="R41" s="17"/>
      <x:c r="S41" s="12"/>
    </x:row>
    <x:row r="42">
      <x:c r="A42" s="17" t="n">
        <x:v>41</x:v>
      </x:c>
      <x:c r="B42" s="18" t="n">
        <x:v>46217</x:v>
      </x:c>
      <x:c r="C42" s="17" t="str">
        <x:v>Read</x:v>
      </x:c>
      <x:c r="D42" s="17" t="str">
        <x:v>E. Three-series theorem</x:v>
      </x:c>
      <x:c r="E42" s="17" t="str">
        <x:v>7.6</x:v>
      </x:c>
      <x:c r="F42" s="17" t="str">
        <x:v>Read: sufficiency of Kolmogorov three-series theorem. Make a three-column checklist: large jumps, variances, means.</x:v>
      </x:c>
      <x:c r="G42" s="17"/>
      <x:c r="H42" s="17"/>
      <x:c r="I42" s="17" t="str">
        <x:v>Block D gate passed</x:v>
      </x:c>
      <x:c r="J42" s="17"/>
      <x:c r="K42" s="18"/>
      <x:c r="L42" s="18" t="str">
        <x:f>IF($P42&lt;&gt;"",$P42,"")</x:f>
      </x:c>
      <x:c r="M42" s="17"/>
      <x:c r="N42" s="17"/>
      <x:c r="O42" s="18" t="str">
        <x:f>IF(AND($C42="Exercise",$K42&lt;&gt;"",$M42&lt;&gt;""),$K42+VLOOKUP($M42,'Redo Rules'!$A$2:$D$5,4,FALSE),"")</x:f>
      </x:c>
      <x:c r="P42" s="18"/>
      <x:c r="Q42" s="17"/>
      <x:c r="R42" s="17"/>
      <x:c r="S42" s="12"/>
    </x:row>
    <x:row r="43">
      <x:c r="A43" s="17" t="n">
        <x:v>42</x:v>
      </x:c>
      <x:c r="B43" s="18" t="n">
        <x:v>46218</x:v>
      </x:c>
      <x:c r="C43" s="17" t="str">
        <x:v>Read</x:v>
      </x:c>
      <x:c r="D43" s="17" t="str">
        <x:v>E. Three-series theorem</x:v>
      </x:c>
      <x:c r="E43" s="17" t="str">
        <x:v>7.6.1</x:v>
      </x:c>
      <x:c r="F43" s="17" t="str">
        <x:v>Read: necessity proof. Mark which direction uses tail equivalence and which uses convergence criterion.</x:v>
      </x:c>
      <x:c r="G43" s="17"/>
      <x:c r="H43" s="17"/>
      <x:c r="I43" s="17" t="str">
        <x:v>7.6 read</x:v>
      </x:c>
      <x:c r="J43" s="17"/>
      <x:c r="K43" s="18"/>
      <x:c r="L43" s="18" t="str">
        <x:f>IF($P43&lt;&gt;"",$P43,"")</x:f>
      </x:c>
      <x:c r="M43" s="17"/>
      <x:c r="N43" s="17"/>
      <x:c r="O43" s="18" t="str">
        <x:f>IF(AND($C43="Exercise",$K43&lt;&gt;"",$M43&lt;&gt;""),$K43+VLOOKUP($M43,'Redo Rules'!$A$2:$D$5,4,FALSE),"")</x:f>
      </x:c>
      <x:c r="P43" s="18"/>
      <x:c r="Q43" s="17"/>
      <x:c r="R43" s="17"/>
      <x:c r="S43" s="12"/>
    </x:row>
    <x:row r="44">
      <x:c r="A44" s="17" t="n">
        <x:v>43</x:v>
      </x:c>
      <x:c r="B44" s="18" t="n">
        <x:v>46219</x:v>
      </x:c>
      <x:c r="C44" s="17" t="str">
        <x:v>Exercise</x:v>
      </x:c>
      <x:c r="D44" s="17" t="str">
        <x:v>E. Three-series theorem</x:v>
      </x:c>
      <x:c r="E44" s="17" t="str">
        <x:v>7.6–7.6.1</x:v>
      </x:c>
      <x:c r="F44" s="17" t="str">
        <x:v>Do Exercise 6: gamma variables and a.s. convergence.</x:v>
      </x:c>
      <x:c r="G44" s="17" t="str">
        <x:v>7.6</x:v>
      </x:c>
      <x:c r="H44" s="17" t="str">
        <x:v>7.6 three-series theorem</x:v>
      </x:c>
      <x:c r="I44" s="17" t="str">
        <x:v>7.6–7.6.1 read or previous listed exercise attempted</x:v>
      </x:c>
      <x:c r="J44" s="17"/>
      <x:c r="K44" s="18"/>
      <x:c r="L44" s="18" t="str">
        <x:f>IF($P44&lt;&gt;"",$P44,"")</x:f>
      </x:c>
      <x:c r="M44" s="17"/>
      <x:c r="N44" s="17"/>
      <x:c r="O44" s="18" t="str">
        <x:f>IF(AND($C44="Exercise",$K44&lt;&gt;"",$M44&lt;&gt;""),$K44+VLOOKUP($M44,'Redo Rules'!$A$2:$D$5,4,FALSE),"")</x:f>
      </x:c>
      <x:c r="P44" s="18"/>
      <x:c r="Q44" s="17"/>
      <x:c r="R44" s="17"/>
      <x:c r="S44" s="12"/>
    </x:row>
    <x:row r="45">
      <x:c r="A45" s="17" t="n">
        <x:v>44</x:v>
      </x:c>
      <x:c r="B45" s="18" t="n">
        <x:v>46220</x:v>
      </x:c>
      <x:c r="C45" s="17" t="str">
        <x:v>Exercise</x:v>
      </x:c>
      <x:c r="D45" s="17" t="str">
        <x:v>E. Three-series theorem</x:v>
      </x:c>
      <x:c r="E45" s="17" t="str">
        <x:v>7.6–7.6.1</x:v>
      </x:c>
      <x:c r="F45" s="17" t="str">
        <x:v>Do Exercise 11: symmetric iid harmonic series criterion.</x:v>
      </x:c>
      <x:c r="G45" s="17" t="str">
        <x:v>7.11</x:v>
      </x:c>
      <x:c r="H45" s="17" t="str">
        <x:v>7.6 three-series / SLLN contrast</x:v>
      </x:c>
      <x:c r="I45" s="17" t="str">
        <x:v>7.6–7.6.1 read or previous listed exercise attempted</x:v>
      </x:c>
      <x:c r="J45" s="17"/>
      <x:c r="K45" s="18"/>
      <x:c r="L45" s="18" t="str">
        <x:f>IF($P45&lt;&gt;"",$P45,"")</x:f>
      </x:c>
      <x:c r="M45" s="17"/>
      <x:c r="N45" s="17"/>
      <x:c r="O45" s="18" t="str">
        <x:f>IF(AND($C45="Exercise",$K45&lt;&gt;"",$M45&lt;&gt;""),$K45+VLOOKUP($M45,'Redo Rules'!$A$2:$D$5,4,FALSE),"")</x:f>
      </x:c>
      <x:c r="P45" s="18"/>
      <x:c r="Q45" s="17"/>
      <x:c r="R45" s="17"/>
      <x:c r="S45" s="12"/>
    </x:row>
    <x:row r="46">
      <x:c r="A46" s="17" t="n">
        <x:v>45</x:v>
      </x:c>
      <x:c r="B46" s="18" t="n">
        <x:v>46221</x:v>
      </x:c>
      <x:c r="C46" s="17" t="str">
        <x:v>Exercise</x:v>
      </x:c>
      <x:c r="D46" s="17" t="str">
        <x:v>E. Three-series theorem</x:v>
      </x:c>
      <x:c r="E46" s="17" t="str">
        <x:v>7.6–7.6.1</x:v>
      </x:c>
      <x:c r="F46" s="17" t="str">
        <x:v>Do Exercise 13: exponential series conditions.</x:v>
      </x:c>
      <x:c r="G46" s="17" t="str">
        <x:v>7.13</x:v>
      </x:c>
      <x:c r="H46" s="17" t="str">
        <x:v>7.6 three-series theorem</x:v>
      </x:c>
      <x:c r="I46" s="17" t="str">
        <x:v>7.6–7.6.1 read or previous listed exercise attempted</x:v>
      </x:c>
      <x:c r="J46" s="17"/>
      <x:c r="K46" s="18"/>
      <x:c r="L46" s="18" t="str">
        <x:f>IF($P46&lt;&gt;"",$P46,"")</x:f>
      </x:c>
      <x:c r="M46" s="17"/>
      <x:c r="N46" s="17"/>
      <x:c r="O46" s="18" t="str">
        <x:f>IF(AND($C46="Exercise",$K46&lt;&gt;"",$M46&lt;&gt;""),$K46+VLOOKUP($M46,'Redo Rules'!$A$2:$D$5,4,FALSE),"")</x:f>
      </x:c>
      <x:c r="P46" s="18"/>
      <x:c r="Q46" s="17"/>
      <x:c r="R46" s="17"/>
      <x:c r="S46" s="12"/>
    </x:row>
    <x:row r="47">
      <x:c r="A47" s="17" t="n">
        <x:v>46</x:v>
      </x:c>
      <x:c r="B47" s="18" t="n">
        <x:v>46222</x:v>
      </x:c>
      <x:c r="C47" s="17" t="str">
        <x:v>Exercise</x:v>
      </x:c>
      <x:c r="D47" s="17" t="str">
        <x:v>E. Three-series theorem</x:v>
      </x:c>
      <x:c r="E47" s="17" t="str">
        <x:v>7.6–7.6.1</x:v>
      </x:c>
      <x:c r="F47" s="17" t="str">
        <x:v>Do Exercise 14: normal series criterion.</x:v>
      </x:c>
      <x:c r="G47" s="17" t="str">
        <x:v>7.14</x:v>
      </x:c>
      <x:c r="H47" s="17" t="str">
        <x:v>7.6 three-series / normal moments</x:v>
      </x:c>
      <x:c r="I47" s="17" t="str">
        <x:v>7.6–7.6.1 read or previous listed exercise attempted</x:v>
      </x:c>
      <x:c r="J47" s="17"/>
      <x:c r="K47" s="18"/>
      <x:c r="L47" s="18" t="str">
        <x:f>IF($P47&lt;&gt;"",$P47,"")</x:f>
      </x:c>
      <x:c r="M47" s="17"/>
      <x:c r="N47" s="17"/>
      <x:c r="O47" s="18" t="str">
        <x:f>IF(AND($C47="Exercise",$K47&lt;&gt;"",$M47&lt;&gt;""),$K47+VLOOKUP($M47,'Redo Rules'!$A$2:$D$5,4,FALSE),"")</x:f>
      </x:c>
      <x:c r="P47" s="18"/>
      <x:c r="Q47" s="17"/>
      <x:c r="R47" s="17"/>
      <x:c r="S47" s="12"/>
    </x:row>
    <x:row r="48">
      <x:c r="A48" s="17" t="n">
        <x:v>47</x:v>
      </x:c>
      <x:c r="B48" s="18" t="n">
        <x:v>46223</x:v>
      </x:c>
      <x:c r="C48" s="17" t="str">
        <x:v>Exercise</x:v>
      </x:c>
      <x:c r="D48" s="17" t="str">
        <x:v>E. Three-series theorem</x:v>
      </x:c>
      <x:c r="E48" s="17" t="str">
        <x:v>7.6–7.6.1</x:v>
      </x:c>
      <x:c r="F48" s="17" t="str">
        <x:v>Do Exercise 15: positive variables two-series reduction.</x:v>
      </x:c>
      <x:c r="G48" s="17" t="str">
        <x:v>7.15</x:v>
      </x:c>
      <x:c r="H48" s="17" t="str">
        <x:v>7.6 positive version</x:v>
      </x:c>
      <x:c r="I48" s="17" t="str">
        <x:v>7.6–7.6.1 read or previous listed exercise attempted</x:v>
      </x:c>
      <x:c r="J48" s="17"/>
      <x:c r="K48" s="18"/>
      <x:c r="L48" s="18" t="str">
        <x:f>IF($P48&lt;&gt;"",$P48,"")</x:f>
      </x:c>
      <x:c r="M48" s="17"/>
      <x:c r="N48" s="17"/>
      <x:c r="O48" s="18" t="str">
        <x:f>IF(AND($C48="Exercise",$K48&lt;&gt;"",$M48&lt;&gt;""),$K48+VLOOKUP($M48,'Redo Rules'!$A$2:$D$5,4,FALSE),"")</x:f>
      </x:c>
      <x:c r="P48" s="18"/>
      <x:c r="Q48" s="17"/>
      <x:c r="R48" s="17"/>
      <x:c r="S48" s="12"/>
    </x:row>
    <x:row r="49">
      <x:c r="A49" s="17" t="n">
        <x:v>48</x:v>
      </x:c>
      <x:c r="B49" s="18" t="n">
        <x:v>46224</x:v>
      </x:c>
      <x:c r="C49" s="17" t="str">
        <x:v>Exercise</x:v>
      </x:c>
      <x:c r="D49" s="17" t="str">
        <x:v>E. Three-series theorem</x:v>
      </x:c>
      <x:c r="E49" s="17" t="str">
        <x:v>7.6–7.6.1</x:v>
      </x:c>
      <x:c r="F49" s="17" t="str">
        <x:v>Do Exercise 17: rare jumps and limiting partial sums.</x:v>
      </x:c>
      <x:c r="G49" s="17" t="str">
        <x:v>7.17</x:v>
      </x:c>
      <x:c r="H49" s="17" t="str">
        <x:v>7.6 three-series / Borel-Cantelli</x:v>
      </x:c>
      <x:c r="I49" s="17" t="str">
        <x:v>7.6–7.6.1 read or previous listed exercise attempted</x:v>
      </x:c>
      <x:c r="J49" s="17"/>
      <x:c r="K49" s="18"/>
      <x:c r="L49" s="18" t="str">
        <x:f>IF($P49&lt;&gt;"",$P49,"")</x:f>
      </x:c>
      <x:c r="M49" s="17"/>
      <x:c r="N49" s="17"/>
      <x:c r="O49" s="18" t="str">
        <x:f>IF(AND($C49="Exercise",$K49&lt;&gt;"",$M49&lt;&gt;""),$K49+VLOOKUP($M49,'Redo Rules'!$A$2:$D$5,4,FALSE),"")</x:f>
      </x:c>
      <x:c r="P49" s="18"/>
      <x:c r="Q49" s="17"/>
      <x:c r="R49" s="17"/>
      <x:c r="S49" s="12"/>
    </x:row>
    <x:row r="50">
      <x:c r="A50" s="17" t="n">
        <x:v>49</x:v>
      </x:c>
      <x:c r="B50" s="18" t="n">
        <x:v>46225</x:v>
      </x:c>
      <x:c r="C50" s="17" t="str">
        <x:v>Exercise</x:v>
      </x:c>
      <x:c r="D50" s="17" t="str">
        <x:v>E. Three-series theorem</x:v>
      </x:c>
      <x:c r="E50" s="17" t="str">
        <x:v>7.6–7.6.1</x:v>
      </x:c>
      <x:c r="F50" s="17" t="str">
        <x:v>Do Exercise 19: nonnegative series equivalent conditions.</x:v>
      </x:c>
      <x:c r="G50" s="17" t="str">
        <x:v>7.19</x:v>
      </x:c>
      <x:c r="H50" s="17" t="str">
        <x:v>7.6 positive series</x:v>
      </x:c>
      <x:c r="I50" s="17" t="str">
        <x:v>7.6–7.6.1 read or previous listed exercise attempted</x:v>
      </x:c>
      <x:c r="J50" s="17"/>
      <x:c r="K50" s="18"/>
      <x:c r="L50" s="18" t="str">
        <x:f>IF($P50&lt;&gt;"",$P50,"")</x:f>
      </x:c>
      <x:c r="M50" s="17"/>
      <x:c r="N50" s="17"/>
      <x:c r="O50" s="18" t="str">
        <x:f>IF(AND($C50="Exercise",$K50&lt;&gt;"",$M50&lt;&gt;""),$K50+VLOOKUP($M50,'Redo Rules'!$A$2:$D$5,4,FALSE),"")</x:f>
      </x:c>
      <x:c r="P50" s="18"/>
      <x:c r="Q50" s="17"/>
      <x:c r="R50" s="17"/>
      <x:c r="S50" s="12"/>
    </x:row>
    <x:row r="51">
      <x:c r="A51" s="17" t="n">
        <x:v>50</x:v>
      </x:c>
      <x:c r="B51" s="18" t="n">
        <x:v>46226</x:v>
      </x:c>
      <x:c r="C51" s="17" t="str">
        <x:v>Exercise</x:v>
      </x:c>
      <x:c r="D51" s="17" t="str">
        <x:v>E. Three-series theorem</x:v>
      </x:c>
      <x:c r="E51" s="17" t="str">
        <x:v>7.6–7.6.1</x:v>
      </x:c>
      <x:c r="F51" s="17" t="str">
        <x:v>Do Exercise 20: sufficient condition for a.s. convergence.</x:v>
      </x:c>
      <x:c r="G51" s="17" t="str">
        <x:v>7.20</x:v>
      </x:c>
      <x:c r="H51" s="17" t="str">
        <x:v>7.6 three-series sufficient logic</x:v>
      </x:c>
      <x:c r="I51" s="17" t="str">
        <x:v>7.6–7.6.1 read or previous listed exercise attempted</x:v>
      </x:c>
      <x:c r="J51" s="17"/>
      <x:c r="K51" s="18"/>
      <x:c r="L51" s="18" t="str">
        <x:f>IF($P51&lt;&gt;"",$P51,"")</x:f>
      </x:c>
      <x:c r="M51" s="17"/>
      <x:c r="N51" s="17"/>
      <x:c r="O51" s="18" t="str">
        <x:f>IF(AND($C51="Exercise",$K51&lt;&gt;"",$M51&lt;&gt;""),$K51+VLOOKUP($M51,'Redo Rules'!$A$2:$D$5,4,FALSE),"")</x:f>
      </x:c>
      <x:c r="P51" s="18"/>
      <x:c r="Q51" s="17"/>
      <x:c r="R51" s="17"/>
      <x:c r="S51" s="12"/>
    </x:row>
    <x:row r="52">
      <x:c r="A52" s="17" t="n">
        <x:v>51</x:v>
      </x:c>
      <x:c r="B52" s="18" t="n">
        <x:v>46227</x:v>
      </x:c>
      <x:c r="C52" s="17" t="str">
        <x:v>Exercise</x:v>
      </x:c>
      <x:c r="D52" s="17" t="str">
        <x:v>E. Three-series theorem</x:v>
      </x:c>
      <x:c r="E52" s="17" t="str">
        <x:v>7.6–7.6.1</x:v>
      </x:c>
      <x:c r="F52" s="17" t="str">
        <x:v>Do Exercise 26: St. Petersburg a.s. limsup failure.</x:v>
      </x:c>
      <x:c r="G52" s="17" t="str">
        <x:v>7.26</x:v>
      </x:c>
      <x:c r="H52" s="17" t="str">
        <x:v>7.6 / Borel-Cantelli</x:v>
      </x:c>
      <x:c r="I52" s="17" t="str">
        <x:v>7.6–7.6.1 read or previous listed exercise attempted</x:v>
      </x:c>
      <x:c r="J52" s="17"/>
      <x:c r="K52" s="18"/>
      <x:c r="L52" s="18" t="str">
        <x:f>IF($P52&lt;&gt;"",$P52,"")</x:f>
      </x:c>
      <x:c r="M52" s="17"/>
      <x:c r="N52" s="17"/>
      <x:c r="O52" s="18" t="str">
        <x:f>IF(AND($C52="Exercise",$K52&lt;&gt;"",$M52&lt;&gt;""),$K52+VLOOKUP($M52,'Redo Rules'!$A$2:$D$5,4,FALSE),"")</x:f>
      </x:c>
      <x:c r="P52" s="18"/>
      <x:c r="Q52" s="17"/>
      <x:c r="R52" s="17"/>
      <x:c r="S52" s="12"/>
    </x:row>
    <x:row r="53">
      <x:c r="A53" s="17" t="n">
        <x:v>52</x:v>
      </x:c>
      <x:c r="B53" s="18" t="n">
        <x:v>46228</x:v>
      </x:c>
      <x:c r="C53" s="17" t="str">
        <x:v>Exercise</x:v>
      </x:c>
      <x:c r="D53" s="17" t="str">
        <x:v>E. Three-series theorem</x:v>
      </x:c>
      <x:c r="E53" s="17" t="str">
        <x:v>7.6–7.6.1</x:v>
      </x:c>
      <x:c r="F53" s="17" t="str">
        <x:v>Do Exercise 33: necessary and sufficient exponent condition.</x:v>
      </x:c>
      <x:c r="G53" s="17" t="str">
        <x:v>7.33</x:v>
      </x:c>
      <x:c r="H53" s="17" t="str">
        <x:v>7.6 three-series theorem</x:v>
      </x:c>
      <x:c r="I53" s="17" t="str">
        <x:v>7.6–7.6.1 read or previous listed exercise attempted</x:v>
      </x:c>
      <x:c r="J53" s="17"/>
      <x:c r="K53" s="18"/>
      <x:c r="L53" s="18" t="str">
        <x:f>IF($P53&lt;&gt;"",$P53,"")</x:f>
      </x:c>
      <x:c r="M53" s="17"/>
      <x:c r="N53" s="17"/>
      <x:c r="O53" s="18" t="str">
        <x:f>IF(AND($C53="Exercise",$K53&lt;&gt;"",$M53&lt;&gt;""),$K53+VLOOKUP($M53,'Redo Rules'!$A$2:$D$5,4,FALSE),"")</x:f>
      </x:c>
      <x:c r="P53" s="18"/>
      <x:c r="Q53" s="17"/>
      <x:c r="R53" s="17"/>
      <x:c r="S53" s="12"/>
    </x:row>
    <x:row r="54">
      <x:c r="A54" s="17" t="n">
        <x:v>53</x:v>
      </x:c>
      <x:c r="B54" s="18" t="n">
        <x:v>46229</x:v>
      </x:c>
      <x:c r="C54" s="17" t="str">
        <x:v>Exercise</x:v>
      </x:c>
      <x:c r="D54" s="17" t="str">
        <x:v>E. Three-series theorem</x:v>
      </x:c>
      <x:c r="E54" s="17" t="str">
        <x:v>7.6–7.6.1</x:v>
      </x:c>
      <x:c r="F54" s="17" t="str">
        <x:v>Do Exercise 36: positive series and expectations under tail condition.</x:v>
      </x:c>
      <x:c r="G54" s="17" t="str">
        <x:v>7.36</x:v>
      </x:c>
      <x:c r="H54" s="17" t="str">
        <x:v>7.6 positive series</x:v>
      </x:c>
      <x:c r="I54" s="17" t="str">
        <x:v>7.6–7.6.1 read or previous listed exercise attempted</x:v>
      </x:c>
      <x:c r="J54" s="17"/>
      <x:c r="K54" s="18"/>
      <x:c r="L54" s="18" t="str">
        <x:f>IF($P54&lt;&gt;"",$P54,"")</x:f>
      </x:c>
      <x:c r="M54" s="17"/>
      <x:c r="N54" s="17"/>
      <x:c r="O54" s="18" t="str">
        <x:f>IF(AND($C54="Exercise",$K54&lt;&gt;"",$M54&lt;&gt;""),$K54+VLOOKUP($M54,'Redo Rules'!$A$2:$D$5,4,FALSE),"")</x:f>
      </x:c>
      <x:c r="P54" s="18"/>
      <x:c r="Q54" s="17"/>
      <x:c r="R54" s="17"/>
      <x:c r="S54" s="12"/>
    </x:row>
    <x:row r="55">
      <x:c r="A55" s="17" t="n">
        <x:v>54</x:v>
      </x:c>
      <x:c r="B55" s="18" t="n">
        <x:v>46230</x:v>
      </x:c>
      <x:c r="C55" s="17" t="str">
        <x:v>Exercise</x:v>
      </x:c>
      <x:c r="D55" s="17" t="str">
        <x:v>E. Three-series theorem</x:v>
      </x:c>
      <x:c r="E55" s="17" t="str">
        <x:v>7.6–7.6.1</x:v>
      </x:c>
      <x:c r="F55" s="17" t="str">
        <x:v>Do Exercise 37: exponential series with only three-series theorem.</x:v>
      </x:c>
      <x:c r="G55" s="17" t="str">
        <x:v>7.37</x:v>
      </x:c>
      <x:c r="H55" s="17" t="str">
        <x:v>7.6 three-series theorem</x:v>
      </x:c>
      <x:c r="I55" s="17" t="str">
        <x:v>7.6–7.6.1 read or previous listed exercise attempted</x:v>
      </x:c>
      <x:c r="J55" s="17"/>
      <x:c r="K55" s="18"/>
      <x:c r="L55" s="18" t="str">
        <x:f>IF($P55&lt;&gt;"",$P55,"")</x:f>
      </x:c>
      <x:c r="M55" s="17"/>
      <x:c r="N55" s="17"/>
      <x:c r="O55" s="18" t="str">
        <x:f>IF(AND($C55="Exercise",$K55&lt;&gt;"",$M55&lt;&gt;""),$K55+VLOOKUP($M55,'Redo Rules'!$A$2:$D$5,4,FALSE),"")</x:f>
      </x:c>
      <x:c r="P55" s="18"/>
      <x:c r="Q55" s="17"/>
      <x:c r="R55" s="17"/>
      <x:c r="S55" s="12"/>
    </x:row>
    <x:row r="56">
      <x:c r="A56" s="17" t="n">
        <x:v>55</x:v>
      </x:c>
      <x:c r="B56" s="18" t="n">
        <x:v>46231</x:v>
      </x:c>
      <x:c r="C56" s="17" t="str">
        <x:v>Gate</x:v>
      </x:c>
      <x:c r="D56" s="17" t="str">
        <x:v>E. Three-series theorem</x:v>
      </x:c>
      <x:c r="E56" s="17" t="str">
        <x:v>7.6–7.6.1</x:v>
      </x:c>
      <x:c r="F56" s="17" t="str">
        <x:v>Proceed gate: for every series problem, record the three series explicitly or say why a simpler criterion applies.</x:v>
      </x:c>
      <x:c r="G56" s="17"/>
      <x:c r="H56" s="17" t="str">
        <x:v>Gate before advanced WLLN extras</x:v>
      </x:c>
      <x:c r="I56" s="17" t="str">
        <x:v>Block E exercises attempted</x:v>
      </x:c>
      <x:c r="J56" s="17" t="str">
        <x:v>Proceed only if three-series checklist is reproducible</x:v>
      </x:c>
      <x:c r="K56" s="18"/>
      <x:c r="L56" s="18" t="str">
        <x:f>IF($P56&lt;&gt;"",$P56,"")</x:f>
      </x:c>
      <x:c r="M56" s="17"/>
      <x:c r="N56" s="17"/>
      <x:c r="O56" s="18" t="str">
        <x:f>IF(AND($C56="Exercise",$K56&lt;&gt;"",$M56&lt;&gt;""),$K56+VLOOKUP($M56,'Redo Rules'!$A$2:$D$5,4,FALSE),"")</x:f>
      </x:c>
      <x:c r="P56" s="18"/>
      <x:c r="Q56" s="17"/>
      <x:c r="R56" s="17"/>
      <x:c r="S56" s="12"/>
    </x:row>
    <x:row r="57">
      <x:c r="A57" s="17" t="n">
        <x:v>56</x:v>
      </x:c>
      <x:c r="B57" s="18" t="n">
        <x:v>46232</x:v>
      </x:c>
      <x:c r="C57" s="17" t="str">
        <x:v>Read</x:v>
      </x:c>
      <x:c r="D57" s="17" t="str">
        <x:v>F. Advanced WLLN / heavy-tail extras</x:v>
      </x:c>
      <x:c r="E57" s="17" t="str">
        <x:v>7.2 + 7.6 review</x:v>
      </x:c>
      <x:c r="F57" s="17" t="str">
        <x:v>Review: relative stability, triangular arrays, St. Petersburg, coupon collecting. This is a consolidation block, not new theorem reading.</x:v>
      </x:c>
      <x:c r="G57" s="17"/>
      <x:c r="H57" s="17"/>
      <x:c r="I57" s="17" t="str">
        <x:v>Blocks A–E complete</x:v>
      </x:c>
      <x:c r="J57" s="17"/>
      <x:c r="K57" s="18"/>
      <x:c r="L57" s="18" t="str">
        <x:f>IF($P57&lt;&gt;"",$P57,"")</x:f>
      </x:c>
      <x:c r="M57" s="17"/>
      <x:c r="N57" s="17"/>
      <x:c r="O57" s="18" t="str">
        <x:f>IF(AND($C57="Exercise",$K57&lt;&gt;"",$M57&lt;&gt;""),$K57+VLOOKUP($M57,'Redo Rules'!$A$2:$D$5,4,FALSE),"")</x:f>
      </x:c>
      <x:c r="P57" s="18"/>
      <x:c r="Q57" s="17"/>
      <x:c r="R57" s="17"/>
      <x:c r="S57" s="12"/>
    </x:row>
    <x:row r="58">
      <x:c r="A58" s="17" t="n">
        <x:v>57</x:v>
      </x:c>
      <x:c r="B58" s="18" t="n">
        <x:v>46233</x:v>
      </x:c>
      <x:c r="C58" s="17" t="str">
        <x:v>Exercise</x:v>
      </x:c>
      <x:c r="D58" s="17" t="str">
        <x:v>F. Advanced WLLN / heavy-tail extras</x:v>
      </x:c>
      <x:c r="E58" s="17" t="str">
        <x:v>7.2 / 7.6 / Ch8 bridge</x:v>
      </x:c>
      <x:c r="F58" s="17" t="str">
        <x:v>Do Exercise 24: relative stability of sums and St. Petersburg paradox.</x:v>
      </x:c>
      <x:c r="G58" s="17" t="str">
        <x:v>7.24</x:v>
      </x:c>
      <x:c r="H58" s="17" t="str">
        <x:v>Advanced 7.2 WLLN / slowly varying functions</x:v>
      </x:c>
      <x:c r="I58" s="17" t="str">
        <x:v>Main Chapter 7 machinery attempted</x:v>
      </x:c>
      <x:c r="J58" s="17"/>
      <x:c r="K58" s="18"/>
      <x:c r="L58" s="18" t="str">
        <x:f>IF($P58&lt;&gt;"",$P58,"")</x:f>
      </x:c>
      <x:c r="M58" s="17"/>
      <x:c r="N58" s="17"/>
      <x:c r="O58" s="18" t="str">
        <x:f>IF(AND($C58="Exercise",$K58&lt;&gt;"",$M58&lt;&gt;""),$K58+VLOOKUP($M58,'Redo Rules'!$A$2:$D$5,4,FALSE),"")</x:f>
      </x:c>
      <x:c r="P58" s="18"/>
      <x:c r="Q58" s="17"/>
      <x:c r="R58" s="17"/>
      <x:c r="S58" s="12"/>
    </x:row>
    <x:row r="59">
      <x:c r="A59" s="17" t="n">
        <x:v>58</x:v>
      </x:c>
      <x:c r="B59" s="18" t="n">
        <x:v>46234</x:v>
      </x:c>
      <x:c r="C59" s="17" t="str">
        <x:v>Exercise</x:v>
      </x:c>
      <x:c r="D59" s="17" t="str">
        <x:v>F. Advanced WLLN / heavy-tail extras</x:v>
      </x:c>
      <x:c r="E59" s="17" t="str">
        <x:v>7.2 / 7.6 / Ch8 bridge</x:v>
      </x:c>
      <x:c r="F59" s="17" t="str">
        <x:v>Do Exercise 25: triangular-array version of Theorem 7.2.1.</x:v>
      </x:c>
      <x:c r="G59" s="17" t="str">
        <x:v>7.25</x:v>
      </x:c>
      <x:c r="H59" s="17" t="str">
        <x:v>Advanced 7.2 WLLN</x:v>
      </x:c>
      <x:c r="I59" s="17" t="str">
        <x:v>Main Chapter 7 machinery attempted</x:v>
      </x:c>
      <x:c r="J59" s="17"/>
      <x:c r="K59" s="18"/>
      <x:c r="L59" s="18" t="str">
        <x:f>IF($P59&lt;&gt;"",$P59,"")</x:f>
      </x:c>
      <x:c r="M59" s="17"/>
      <x:c r="N59" s="17"/>
      <x:c r="O59" s="18" t="str">
        <x:f>IF(AND($C59="Exercise",$K59&lt;&gt;"",$M59&lt;&gt;""),$K59+VLOOKUP($M59,'Redo Rules'!$A$2:$D$5,4,FALSE),"")</x:f>
      </x:c>
      <x:c r="P59" s="18"/>
      <x:c r="Q59" s="17"/>
      <x:c r="R59" s="17"/>
      <x:c r="S59" s="12"/>
    </x:row>
    <x:row r="60">
      <x:c r="A60" s="17" t="n">
        <x:v>59</x:v>
      </x:c>
      <x:c r="B60" s="18" t="n">
        <x:v>46235</x:v>
      </x:c>
      <x:c r="C60" s="17" t="str">
        <x:v>Exercise</x:v>
      </x:c>
      <x:c r="D60" s="17" t="str">
        <x:v>F. Advanced WLLN / heavy-tail extras</x:v>
      </x:c>
      <x:c r="E60" s="17" t="str">
        <x:v>7.2 / 7.6 / Ch8 bridge</x:v>
      </x:c>
      <x:c r="F60" s="17" t="str">
        <x:v>Do Exercise 29: heavy-tailed normalized lower limit.</x:v>
      </x:c>
      <x:c r="G60" s="17" t="str">
        <x:v>7.29</x:v>
      </x:c>
      <x:c r="H60" s="17" t="str">
        <x:v>Advanced WLLN / truncation</x:v>
      </x:c>
      <x:c r="I60" s="17" t="str">
        <x:v>Main Chapter 7 machinery attempted</x:v>
      </x:c>
      <x:c r="J60" s="17"/>
      <x:c r="K60" s="18"/>
      <x:c r="L60" s="18" t="str">
        <x:f>IF($P60&lt;&gt;"",$P60,"")</x:f>
      </x:c>
      <x:c r="M60" s="17"/>
      <x:c r="N60" s="17"/>
      <x:c r="O60" s="18" t="str">
        <x:f>IF(AND($C60="Exercise",$K60&lt;&gt;"",$M60&lt;&gt;""),$K60+VLOOKUP($M60,'Redo Rules'!$A$2:$D$5,4,FALSE),"")</x:f>
      </x:c>
      <x:c r="P60" s="18"/>
      <x:c r="Q60" s="17"/>
      <x:c r="R60" s="17"/>
      <x:c r="S60" s="12"/>
    </x:row>
    <x:row r="61">
      <x:c r="A61" s="17" t="n">
        <x:v>60</x:v>
      </x:c>
      <x:c r="B61" s="18" t="n">
        <x:v>46236</x:v>
      </x:c>
      <x:c r="C61" s="17" t="str">
        <x:v>Exercise</x:v>
      </x:c>
      <x:c r="D61" s="17" t="str">
        <x:v>F. Advanced WLLN / heavy-tail extras</x:v>
      </x:c>
      <x:c r="E61" s="17" t="str">
        <x:v>7.2 / 7.6 / Ch8 bridge</x:v>
      </x:c>
      <x:c r="F61" s="17" t="str">
        <x:v>Do Exercise 30: classical coupon collecting.</x:v>
      </x:c>
      <x:c r="G61" s="17" t="str">
        <x:v>7.30</x:v>
      </x:c>
      <x:c r="H61" s="17" t="str">
        <x:v>WLLN with geometric variables</x:v>
      </x:c>
      <x:c r="I61" s="17" t="str">
        <x:v>Main Chapter 7 machinery attempted</x:v>
      </x:c>
      <x:c r="J61" s="17"/>
      <x:c r="K61" s="18"/>
      <x:c r="L61" s="18" t="str">
        <x:f>IF($P61&lt;&gt;"",$P61,"")</x:f>
      </x:c>
      <x:c r="M61" s="17"/>
      <x:c r="N61" s="17"/>
      <x:c r="O61" s="18" t="str">
        <x:f>IF(AND($C61="Exercise",$K61&lt;&gt;"",$M61&lt;&gt;""),$K61+VLOOKUP($M61,'Redo Rules'!$A$2:$D$5,4,FALSE),"")</x:f>
      </x:c>
      <x:c r="P61" s="18"/>
      <x:c r="Q61" s="17"/>
      <x:c r="R61" s="17"/>
      <x:c r="S61" s="12"/>
    </x:row>
    <x:row r="62">
      <x:c r="A62" s="17" t="n">
        <x:v>61</x:v>
      </x:c>
      <x:c r="B62" s="18" t="n">
        <x:v>46237</x:v>
      </x:c>
      <x:c r="C62" s="17" t="str">
        <x:v>Exercise</x:v>
      </x:c>
      <x:c r="D62" s="17" t="str">
        <x:v>F. Advanced WLLN / heavy-tail extras</x:v>
      </x:c>
      <x:c r="E62" s="17" t="str">
        <x:v>7.2 / 7.6 / Ch8 bridge</x:v>
      </x:c>
      <x:c r="F62" s="17" t="str">
        <x:v>Do Exercise 46: Cauchy sums; mark as bridge to Chapter 8 if needed.</x:v>
      </x:c>
      <x:c r="G62" s="17" t="str">
        <x:v>7.46</x:v>
      </x:c>
      <x:c r="H62" s="17" t="str">
        <x:v>Chapter 7 + Chapter 8 bridge</x:v>
      </x:c>
      <x:c r="I62" s="17" t="str">
        <x:v>Main Chapter 7 machinery attempted</x:v>
      </x:c>
      <x:c r="J62" s="17"/>
      <x:c r="K62" s="18"/>
      <x:c r="L62" s="18" t="str">
        <x:f>IF($P62&lt;&gt;"",$P62,"")</x:f>
      </x:c>
      <x:c r="M62" s="17"/>
      <x:c r="N62" s="17"/>
      <x:c r="O62" s="18" t="str">
        <x:f>IF(AND($C62="Exercise",$K62&lt;&gt;"",$M62&lt;&gt;""),$K62+VLOOKUP($M62,'Redo Rules'!$A$2:$D$5,4,FALSE),"")</x:f>
      </x:c>
      <x:c r="P62" s="18"/>
      <x:c r="Q62" s="17"/>
      <x:c r="R62" s="17"/>
      <x:c r="S62" s="12"/>
    </x:row>
    <x:row r="63">
      <x:c r="A63" s="17" t="n">
        <x:v>62</x:v>
      </x:c>
      <x:c r="B63" s="18" t="n">
        <x:v>46238</x:v>
      </x:c>
      <x:c r="C63" s="17" t="str">
        <x:v>Summary</x:v>
      </x:c>
      <x:c r="D63" s="17" t="str">
        <x:v>G. Chapter summary</x:v>
      </x:c>
      <x:c r="E63" s="17" t="str">
        <x:v>Chapter 7</x:v>
      </x:c>
      <x:c r="F63" s="17" t="str">
        <x:v>Write final Chapter 7 summary: definitions, main results, proof ideas, technical tricks, pitfalls, links to Chapter 6 and Chapter 8.</x:v>
      </x:c>
      <x:c r="G63" s="17"/>
      <x:c r="H63" s="17"/>
      <x:c r="I63" s="17" t="str">
        <x:v>All exercise first attempts completed</x:v>
      </x:c>
      <x:c r="J63" s="17"/>
      <x:c r="K63" s="18"/>
      <x:c r="L63" s="18" t="str">
        <x:f>IF($P63&lt;&gt;"",$P63,"")</x:f>
      </x:c>
      <x:c r="M63" s="17"/>
      <x:c r="N63" s="17"/>
      <x:c r="O63" s="18" t="str">
        <x:f>IF(AND($C63="Exercise",$K63&lt;&gt;"",$M63&lt;&gt;""),$K63+VLOOKUP($M63,'Redo Rules'!$A$2:$D$5,4,FALSE),"")</x:f>
      </x:c>
      <x:c r="P63" s="18"/>
      <x:c r="Q63" s="17"/>
      <x:c r="R63" s="17"/>
      <x:c r="S63" s="12"/>
    </x:row>
    <x:row r="64">
      <x:c r="A64" s="17" t="n">
        <x:v>63</x:v>
      </x:c>
      <x:c r="B64" s="18" t="n">
        <x:v>46239</x:v>
      </x:c>
      <x:c r="C64" s="17" t="str">
        <x:v>Summary</x:v>
      </x:c>
      <x:c r="D64" s="17" t="str">
        <x:v>G. Chapter summary</x:v>
      </x:c>
      <x:c r="E64" s="17" t="str">
        <x:v>Chapter 7</x:v>
      </x:c>
      <x:c r="F64" s="17" t="str">
        <x:v>Final redo sweep: sort Master Schedule by Suggested Redo Date and complete unresolved Totally ignorance / Spark / Skeleton rows.</x:v>
      </x:c>
      <x:c r="G64" s="17"/>
      <x:c r="H64" s="17"/>
      <x:c r="I64" s="17" t="str">
        <x:v>Chapter summary drafted</x:v>
      </x:c>
      <x:c r="J64" s="17"/>
      <x:c r="K64" s="18"/>
      <x:c r="L64" s="18" t="str">
        <x:f>IF($P64&lt;&gt;"",$P64,"")</x:f>
      </x:c>
      <x:c r="M64" s="17"/>
      <x:c r="N64" s="17"/>
      <x:c r="O64" s="18" t="str">
        <x:f>IF(AND($C64="Exercise",$K64&lt;&gt;"",$M64&lt;&gt;""),$K64+VLOOKUP($M64,'Redo Rules'!$A$2:$D$5,4,FALSE),"")</x:f>
      </x:c>
      <x:c r="P64" s="18"/>
      <x:c r="Q64" s="17"/>
      <x:c r="R64" s="17"/>
      <x:c r="S64" s="12"/>
    </x:row>
  </x:sheetData>
  <x:conditionalFormatting sqref="M2:M64">
    <x:cfRule type="expression" dxfId="0" priority="1">
      <x:formula>$M2="Totally ignorance"</x:formula>
    </x:cfRule>
    <x:cfRule type="expression" dxfId="1" priority="2">
      <x:formula>$M2="Spark"</x:formula>
    </x:cfRule>
    <x:cfRule type="expression" dxfId="2" priority="3">
      <x:formula>$M2="Skeleton"</x:formula>
    </x:cfRule>
    <x:cfRule type="expression" dxfId="3" priority="4">
      <x:formula>$M2="Crack it"</x:formula>
    </x:cfRule>
  </x:conditionalFormatting>
  <x:conditionalFormatting sqref="O2:O64">
    <x:cfRule type="expression" dxfId="4" priority="5">
      <x:formula>AND($O2&lt;&gt;"",$O2&lt;=TODAY(),$P2="")</x:formula>
    </x:cfRule>
  </x:conditionalFormatting>
  <x:dataValidations count="3">
    <x:dataValidation type="list" sqref="M2:M64">
      <x:formula1>"Totally ignorance,Spark,Skeleton,Crack it"</x:formula1>
    </x:dataValidation>
    <x:dataValidation type="list" sqref="Q2:Q64">
      <x:formula1>"Y,N"</x:formula1>
    </x:dataValidation>
    <x:dataValidation type="list" sqref="R2:R64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141b48c7c440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9" t="str">
        <x:v>Resnick Chapter 7 Schedule</x:v>
      </x:c>
      <x:c r="B1" s="39"/>
    </x:row>
    <x:row r="2">
      <x:c r="A2" s="23" t="str">
        <x:v>Instruction</x:v>
      </x:c>
      <x:c r="B2" s="23" t="str">
        <x:v>Fill Actual Start. For exercises, Suggested Redo Date is automatic. Fill Actual Redo Date when you actually redo; Actual End mirrors it.</x:v>
      </x:c>
    </x:row>
    <x:row r="3">
      <x:c r="A3" s="12"/>
      <x:c r="B3" s="12"/>
    </x:row>
    <x:row r="4">
      <x:c r="A4" s="28" t="str">
        <x:v>Total tasks</x:v>
      </x:c>
      <x:c r="B4" s="12" t="n">
        <x:f>COUNTA('Master Schedule'!$A$2:$A$64)</x:f>
        <x:v>63</x:v>
      </x:c>
    </x:row>
    <x:row r="5">
      <x:c r="A5" s="28" t="str">
        <x:v>Reading rows</x:v>
      </x:c>
      <x:c r="B5" s="12" t="n">
        <x:f>COUNTIF('Master Schedule'!$C$2:$C$64,"Read")</x:f>
        <x:v>10</x:v>
      </x:c>
    </x:row>
    <x:row r="6">
      <x:c r="A6" s="28" t="str">
        <x:v>Exercise rows</x:v>
      </x:c>
      <x:c r="B6" s="12" t="n">
        <x:f>COUNTIF('Master Schedule'!$C$2:$C$64,"Exercise")</x:f>
        <x:v>46</x:v>
      </x:c>
    </x:row>
    <x:row r="7">
      <x:c r="A7" s="28" t="str">
        <x:v>Gate rows</x:v>
      </x:c>
      <x:c r="B7" s="12" t="n">
        <x:f>COUNTIF('Master Schedule'!$C$2:$C$64,"Gate")</x:f>
        <x:v>5</x:v>
      </x:c>
    </x:row>
    <x:row r="8">
      <x:c r="A8" s="28" t="str">
        <x:v>Summary rows</x:v>
      </x:c>
      <x:c r="B8" s="12" t="n">
        <x:f>COUNTIF('Master Schedule'!$C$2:$C$64,"Summary")</x:f>
        <x:v>2</x:v>
      </x:c>
    </x:row>
    <x:row r="9">
      <x:c r="A9" s="28" t="str">
        <x:v>Actual redo dates filled</x:v>
      </x:c>
      <x:c r="B9" s="12" t="n">
        <x:f>COUNTIF('Master Schedule'!$P$2:$P$64,"&gt;0")</x:f>
        <x:v>0</x:v>
      </x:c>
    </x:row>
    <x:row r="10">
      <x:c r="A10" s="28" t="str">
        <x:v>Redo due / unresolved</x:v>
      </x:c>
      <x:c r="B10" s="12" t="n">
        <x:f>COUNTIFS('Master Schedule'!$O$2:$O$64,"&lt;="&amp;TODAY(),'Master Schedule'!$O$2:$O$64,"&gt;0",'Master Schedule'!$Q$2:$Q$64,"&lt;&gt;Y")</x:f>
        <x:v>0</x:v>
      </x:c>
    </x:row>
    <x:row r="11">
      <x:c r="A11" s="12"/>
      <x:c r="B11" s="12"/>
    </x:row>
    <x:row r="12">
      <x:c r="A12" s="28" t="str">
        <x:v>Totally ignorance</x:v>
      </x:c>
      <x:c r="B12" s="12" t="n">
        <x:f>COUNTIF('Master Schedule'!$M$2:$M$64,"Totally ignorance")</x:f>
        <x:v>0</x:v>
      </x:c>
    </x:row>
    <x:row r="13">
      <x:c r="A13" s="28" t="str">
        <x:v>Spark</x:v>
      </x:c>
      <x:c r="B13" s="12" t="n">
        <x:f>COUNTIF('Master Schedule'!$M$2:$M$64,"Spark")</x:f>
        <x:v>0</x:v>
      </x:c>
    </x:row>
    <x:row r="14">
      <x:c r="A14" s="28" t="str">
        <x:v>Skeleton</x:v>
      </x:c>
      <x:c r="B14" s="12" t="n">
        <x:f>COUNTIF('Master Schedule'!$M$2:$M$64,"Skeleton")</x:f>
        <x:v>0</x:v>
      </x:c>
    </x:row>
    <x:row r="15">
      <x:c r="A15" s="28" t="str">
        <x:v>Crack it</x:v>
      </x:c>
      <x:c r="B15" s="12" t="n">
        <x:f>COUNTIF('Master Schedule'!$M$2:$M$64,"Crack it")</x:f>
        <x:v>0</x:v>
      </x:c>
    </x:row>
    <x:row r="16">
      <x:c r="A16" s="12"/>
      <x:c r="B16" s="12"/>
    </x:row>
    <x:row r="17">
      <x:c r="A17" s="28" t="str">
        <x:v>Main fill-out columns</x:v>
      </x:c>
      <x:c r="B17" s="12" t="str">
        <x:v>K, M:N, P:Q, R:S in Master Schedule</x:v>
      </x:c>
    </x:row>
    <x:row r="18">
      <x:c r="A18" s="28" t="str">
        <x:v>Redo formula source</x:v>
      </x:c>
      <x:c r="B18" s="12" t="str">
        <x:v>Actual Start + First-pass Status; Actual End = Actual Redo 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70" hidden="0" customWidth="1"/>
    <x:col min="4" max="4" width="18" hidden="0" customWidth="1"/>
  </x:cols>
  <x:sheetData>
    <x:row r="1">
      <x:c r="A1" s="39" t="str">
        <x:v>First-pass Status</x:v>
      </x:c>
      <x:c r="B1" s="39" t="str">
        <x:v>Meaning</x:v>
      </x:c>
      <x:c r="C1" s="39" t="str">
        <x:v>Recommended Action</x:v>
      </x:c>
      <x:c r="D1" s="39" t="str">
        <x:v>Redo Offset Days</x:v>
      </x:c>
    </x:row>
    <x:row r="2">
      <x:c r="A2" t="str">
        <x:v>Totally ignorance</x:v>
      </x:c>
      <x:c r="B2" t="str">
        <x:v>Cannot write meaningful structure.</x:v>
      </x:c>
      <x:c r="C2" t="str">
        <x:v>Redo next day after rereading the exact theorem/definition; ask for minimum hint only if still blank.</x:v>
      </x:c>
      <x:c r="D2" s="32" t="n">
        <x:v>1</x:v>
      </x:c>
    </x:row>
    <x:row r="3">
      <x:c r="A3" t="str">
        <x:v>Spark</x:v>
      </x:c>
      <x:c r="B3" t="str">
        <x:v>Blur picture appears but needs ignition.</x:v>
      </x:c>
      <x:c r="C3" t="str">
        <x:v>Redo after two days with one minimum hint.</x:v>
      </x:c>
      <x:c r="D3" s="32" t="n">
        <x:v>2</x:v>
      </x:c>
    </x:row>
    <x:row r="4">
      <x:c r="A4" t="str">
        <x:v>Skeleton</x:v>
      </x:c>
      <x:c r="B4" t="str">
        <x:v>Direction is right but missing the logical bridge.</x:v>
      </x:c>
      <x:c r="C4" t="str">
        <x:v>Redo after two days; focus only on the missing bridge.</x:v>
      </x:c>
      <x:c r="D4" s="32" t="n">
        <x:v>2</x:v>
      </x:c>
    </x:row>
    <x:row r="5">
      <x:c r="A5" t="str">
        <x:v>Crack it</x:v>
      </x:c>
      <x:c r="B5" t="str">
        <x:v>Logic basically correct.</x:v>
      </x:c>
      <x:c r="C5" t="str">
        <x:v>C1 after two days; no immediate redo unless proof was messy.</x:v>
      </x:c>
      <x:c r="D5" s="32" t="n">
        <x:v>2</x:v>
      </x:c>
    </x:row>
    <x:row r="6">
      <x:c r="A6" t="str">
        <x:v>Note</x:v>
      </x:c>
      <x:c r="B6" t="str">
        <x:v>Actual Start is also the first attempt date for exercise rows.</x:v>
      </x:c>
      <x:c r="C6" t="str">
        <x:v>Suggested Redo Date = Actual Start + offset. Actual End is automatically filled from Actual Redo Date.</x:v>
      </x:c>
      <x:c r="D6"/>
    </x:row>
  </x:sheetData>
  <x:pageMargins left="0.7" right="0.7" top="0.75" bottom="0.75" header="0.3" footer="0.3"/>
  <x:tableParts count="1">
    <x:tablePart xmlns:r="http://schemas.openxmlformats.org/officeDocument/2006/relationships" r:id="Ra84ecf421f324142"/>
  </x:tableParts>
</x:worksheet>
</file>