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569aefa3e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chedule" sheetId="1" r:id="R1aa10f3458604c71"/>
    <x:sheet xmlns:r="http://schemas.openxmlformats.org/officeDocument/2006/relationships" name="Dashboard" sheetId="2" r:id="R2604a85c4acc426e"/>
    <x:sheet xmlns:r="http://schemas.openxmlformats.org/officeDocument/2006/relationships" name="Redo Rules" sheetId="3" r:id="R245ee8b70100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ill>
        <x:patternFill patternType="solid">
          <x:bgColor rgb="E0F2FE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f885042e24778" /><Relationship Type="http://schemas.openxmlformats.org/officeDocument/2006/relationships/theme" Target="/xl/theme/theme1.xml" Id="Ra1e994c5220f4aea" /><Relationship Type="http://schemas.openxmlformats.org/officeDocument/2006/relationships/sharedStrings" Target="/xl/sharedStrings.xml" Id="R2c80e14aa3284396" /><Relationship Type="http://schemas.openxmlformats.org/officeDocument/2006/relationships/worksheet" Target="/xl/worksheets/sheet1.xml" Id="R1aa10f3458604c71" /><Relationship Type="http://schemas.openxmlformats.org/officeDocument/2006/relationships/worksheet" Target="/xl/worksheets/sheet2.xml" Id="R2604a85c4acc426e" /><Relationship Type="http://schemas.openxmlformats.org/officeDocument/2006/relationships/worksheet" Target="/xl/worksheets/sheet3.xml" Id="R245ee8b701004bf8" /></Relationships>
</file>

<file path=xl/tables/table1.xml><?xml version="1.0" encoding="utf-8"?>
<x:table xmlns:x="http://schemas.openxmlformats.org/spreadsheetml/2006/main" id="1" name="MasterScheduleTable" displayName="MasterScheduleTable" ref="A1:S64" headerRowCount="1">
  <x:tableColumns count="19">
    <x:tableColumn id="1" name="Order"/>
    <x:tableColumn id="2" name="Planned Date"/>
    <x:tableColumn id="3" name="Task Type"/>
    <x:tableColumn id="4" name="Phase"/>
    <x:tableColumn id="5" name="Section(s)"/>
    <x:tableColumn id="6" name="Task"/>
    <x:tableColumn id="7" name="Exercise"/>
    <x:tableColumn id="8" name="Related Result / Reason"/>
    <x:tableColumn id="9" name="Prerequisite"/>
    <x:tableColumn id="10" name="Proceed Gate"/>
    <x:tableColumn id="11" name="Actual Start"/>
    <x:tableColumn id="12" name="Actual End"/>
    <x:tableColumn id="13" name="First Attempt Date"/>
    <x:tableColumn id="14" name="First-pass Status"/>
    <x:tableColumn id="15" name="Key Blocker"/>
    <x:tableColumn id="16" name="Suggested Redo Date"/>
    <x:tableColumn id="17" name="Redo Result"/>
    <x:tableColumn id="18" name="Proceed?"/>
    <x:tableColumn id="1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2a4242dfa44fb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24" hidden="0" customWidth="1"/>
    <x:col min="5" max="5" width="16" hidden="0" customWidth="1"/>
    <x:col min="6" max="6" width="52" hidden="0" customWidth="1"/>
    <x:col min="7" max="7" width="10" hidden="0" customWidth="1"/>
    <x:col min="8" max="8" width="32" hidden="0" customWidth="1"/>
    <x:col min="9" max="9" width="30" hidden="0" customWidth="1"/>
    <x:col min="10" max="10" width="32" hidden="0" customWidth="1"/>
    <x:col min="11" max="11" width="13" hidden="0" customWidth="1"/>
    <x:col min="12" max="12" width="13" hidden="0" customWidth="1"/>
    <x:col min="13" max="13" width="16" hidden="0" customWidth="1"/>
    <x:col min="14" max="14" width="18" hidden="0" customWidth="1"/>
    <x:col min="15" max="15" width="32" hidden="0" customWidth="1"/>
    <x:col min="16" max="16" width="16" hidden="0" customWidth="1"/>
    <x:col min="17" max="17" width="18" hidden="0" customWidth="1"/>
    <x:col min="18" max="18" width="10" hidden="0" customWidth="1"/>
    <x:col min="19" max="19" width="32" hidden="0" customWidth="1"/>
  </x:cols>
  <x:sheetData>
    <x:row r="1">
      <x:c r="A1" s="20" t="str">
        <x:v>Order</x:v>
      </x:c>
      <x:c r="B1" s="20" t="str">
        <x:v>Planned Date</x:v>
      </x:c>
      <x:c r="C1" s="20" t="str">
        <x:v>Task Type</x:v>
      </x:c>
      <x:c r="D1" s="20" t="str">
        <x:v>Phase</x:v>
      </x:c>
      <x:c r="E1" s="20" t="str">
        <x:v>Section(s)</x:v>
      </x:c>
      <x:c r="F1" s="20" t="str">
        <x:v>Task</x:v>
      </x:c>
      <x:c r="G1" s="20" t="str">
        <x:v>Exercise</x:v>
      </x:c>
      <x:c r="H1" s="20" t="str">
        <x:v>Related Result / Reason</x:v>
      </x:c>
      <x:c r="I1" s="20" t="str">
        <x:v>Prerequisite</x:v>
      </x:c>
      <x:c r="J1" s="20" t="str">
        <x:v>Proceed Gate</x:v>
      </x:c>
      <x:c r="K1" s="20" t="str">
        <x:v>Actual Start</x:v>
      </x:c>
      <x:c r="L1" s="20" t="str">
        <x:v>Actual End</x:v>
      </x:c>
      <x:c r="M1" s="20" t="str">
        <x:v>First Attempt Date</x:v>
      </x:c>
      <x:c r="N1" s="20" t="str">
        <x:v>First-pass Status</x:v>
      </x:c>
      <x:c r="O1" s="20" t="str">
        <x:v>Key Blocker</x:v>
      </x:c>
      <x:c r="P1" s="20" t="str">
        <x:v>Suggested Redo Date</x:v>
      </x:c>
      <x:c r="Q1" s="20" t="str">
        <x:v>Redo Result</x:v>
      </x:c>
      <x:c r="R1" s="20" t="str">
        <x:v>Proceed?</x:v>
      </x:c>
      <x:c r="S1" s="20" t="str">
        <x:v>Notes</x:v>
      </x:c>
    </x:row>
    <x:row r="2">
      <x:c r="A2" s="21" t="n">
        <x:v>1</x:v>
      </x:c>
      <x:c r="B2" s="22" t="n">
        <x:v>46177</x:v>
      </x:c>
      <x:c r="C2" s="21" t="str">
        <x:v>Read</x:v>
      </x:c>
      <x:c r="D2" s="21" t="str">
        <x:v>A. WLLN foundation</x:v>
      </x:c>
      <x:c r="E2" s="21" t="str">
        <x:v>7.1</x:v>
      </x:c>
      <x:c r="F2" s="21" t="str">
        <x:v>Read: truncation and tail equivalence. Make a one-page note: what changes after truncation and what remains equivalent.</x:v>
      </x:c>
      <x:c r="G2" s="21" t="str"/>
      <x:c r="H2" s="21" t="str"/>
      <x:c r="I2" s="21" t="str">
        <x:v>Start of Chapter 7</x:v>
      </x:c>
      <x:c r="J2" s="21" t="str"/>
      <x:c r="K2" s="22" t="str"/>
      <x:c r="L2" s="22" t="str"/>
      <x:c r="M2" s="22" t="str"/>
      <x:c r="N2" s="21" t="str"/>
      <x:c r="O2" s="21" t="str"/>
      <x:c r="P2" s="22" t="str">
        <x:f>IF($M2="","",IF($N2="Totally ignorance",$M2+1,IF(OR($N2="Spark",$N2="Skeleton",$N2="Crack it"),$M2+2,"")))</x:f>
      </x:c>
      <x:c r="Q2" s="21" t="str"/>
      <x:c r="R2" s="21" t="str"/>
      <x:c r="S2" s="21" t="str"/>
    </x:row>
    <x:row r="3">
      <x:c r="A3" s="21" t="n">
        <x:v>2</x:v>
      </x:c>
      <x:c r="B3" s="22" t="n">
        <x:v>46178</x:v>
      </x:c>
      <x:c r="C3" s="21" t="str">
        <x:v>Read</x:v>
      </x:c>
      <x:c r="D3" s="21" t="str">
        <x:v>A. WLLN foundation</x:v>
      </x:c>
      <x:c r="E3" s="21" t="str">
        <x:v>7.2</x:v>
      </x:c>
      <x:c r="F3" s="21" t="str">
        <x:v>Read: General WLLN theorem. Write conditions (7.2)–(7.4) as a checklist: big jumps, truncated variance, centering.</x:v>
      </x:c>
      <x:c r="G3" s="21" t="str"/>
      <x:c r="H3" s="21" t="str"/>
      <x:c r="I3" s="21" t="str">
        <x:v>7.1 read</x:v>
      </x:c>
      <x:c r="J3" s="21" t="str"/>
      <x:c r="K3" s="22" t="str"/>
      <x:c r="L3" s="22" t="str"/>
      <x:c r="M3" s="22" t="str"/>
      <x:c r="N3" s="21" t="str"/>
      <x:c r="O3" s="21" t="str"/>
      <x:c r="P3" s="22" t="str">
        <x:f>IF($M3="","",IF($N3="Totally ignorance",$M3+1,IF(OR($N3="Spark",$N3="Skeleton",$N3="Crack it"),$M3+2,"")))</x:f>
      </x:c>
      <x:c r="Q3" s="21" t="str"/>
      <x:c r="R3" s="21" t="str"/>
      <x:c r="S3" s="21" t="str"/>
    </x:row>
    <x:row r="4">
      <x:c r="A4" s="21" t="n">
        <x:v>3</x:v>
      </x:c>
      <x:c r="B4" s="22" t="n">
        <x:v>46179</x:v>
      </x:c>
      <x:c r="C4" s="21" t="str">
        <x:v>Exercise</x:v>
      </x:c>
      <x:c r="D4" s="21" t="str">
        <x:v>A. WLLN foundation</x:v>
      </x:c>
      <x:c r="E4" s="21" t="str">
        <x:v>7.2</x:v>
      </x:c>
      <x:c r="F4" s="21" t="str">
        <x:v>Do Exercise 2: sample variance consistency.</x:v>
      </x:c>
      <x:c r="G4" s="21" t="str">
        <x:v>7.2</x:v>
      </x:c>
      <x:c r="H4" s="21" t="str">
        <x:v>7.2 General WLLN / Chebyshev logic</x:v>
      </x:c>
      <x:c r="I4" s="21" t="str">
        <x:v>Finish 7.1–7.2 reading</x:v>
      </x:c>
      <x:c r="J4" s="21" t="str"/>
      <x:c r="K4" s="22" t="str"/>
      <x:c r="L4" s="22" t="str"/>
      <x:c r="M4" s="22" t="str"/>
      <x:c r="N4" s="21" t="str"/>
      <x:c r="O4" s="21" t="str"/>
      <x:c r="P4" s="22" t="str">
        <x:f>IF($M4="","",IF($N4="Totally ignorance",$M4+1,IF(OR($N4="Spark",$N4="Skeleton",$N4="Crack it"),$M4+2,"")))</x:f>
      </x:c>
      <x:c r="Q4" s="21" t="str"/>
      <x:c r="R4" s="21" t="str"/>
      <x:c r="S4" s="21" t="str"/>
    </x:row>
    <x:row r="5">
      <x:c r="A5" s="21" t="n">
        <x:v>4</x:v>
      </x:c>
      <x:c r="B5" s="22" t="n">
        <x:v>46180</x:v>
      </x:c>
      <x:c r="C5" s="21" t="str">
        <x:v>Exercise</x:v>
      </x:c>
      <x:c r="D5" s="21" t="str">
        <x:v>A. WLLN foundation</x:v>
      </x:c>
      <x:c r="E5" s="21" t="str">
        <x:v>7.2</x:v>
      </x:c>
      <x:c r="F5" s="21" t="str">
        <x:v>Do Exercise 3: occupancy problem.</x:v>
      </x:c>
      <x:c r="G5" s="21" t="str">
        <x:v>7.3</x:v>
      </x:c>
      <x:c r="H5" s="21" t="str">
        <x:v>7.2 WLLN / variance computation</x:v>
      </x:c>
      <x:c r="I5" s="21" t="str">
        <x:v>Exercise 2 attempted</x:v>
      </x:c>
      <x:c r="J5" s="21" t="str"/>
      <x:c r="K5" s="22" t="str"/>
      <x:c r="L5" s="22" t="str"/>
      <x:c r="M5" s="22" t="str"/>
      <x:c r="N5" s="21" t="str"/>
      <x:c r="O5" s="21" t="str"/>
      <x:c r="P5" s="22" t="str">
        <x:f>IF($M5="","",IF($N5="Totally ignorance",$M5+1,IF(OR($N5="Spark",$N5="Skeleton",$N5="Crack it"),$M5+2,"")))</x:f>
      </x:c>
      <x:c r="Q5" s="21" t="str"/>
      <x:c r="R5" s="21" t="str"/>
      <x:c r="S5" s="21" t="str"/>
    </x:row>
    <x:row r="6">
      <x:c r="A6" s="21" t="n">
        <x:v>5</x:v>
      </x:c>
      <x:c r="B6" s="22" t="n">
        <x:v>46181</x:v>
      </x:c>
      <x:c r="C6" s="21" t="str">
        <x:v>Exercise</x:v>
      </x:c>
      <x:c r="D6" s="21" t="str">
        <x:v>A. WLLN foundation</x:v>
      </x:c>
      <x:c r="E6" s="21" t="str">
        <x:v>7.2</x:v>
      </x:c>
      <x:c r="F6" s="21" t="str">
        <x:v>Do Exercise 4: Monte Carlo integration interpretation.</x:v>
      </x:c>
      <x:c r="G6" s="21" t="str">
        <x:v>7.4</x:v>
      </x:c>
      <x:c r="H6" s="21" t="str">
        <x:v>7.2 WLLN + Chapter 5 integration</x:v>
      </x:c>
      <x:c r="I6" s="21" t="str">
        <x:v>Exercise 3 attempted</x:v>
      </x:c>
      <x:c r="J6" s="21" t="str"/>
      <x:c r="K6" s="22" t="str"/>
      <x:c r="L6" s="22" t="str"/>
      <x:c r="M6" s="22" t="str"/>
      <x:c r="N6" s="21" t="str"/>
      <x:c r="O6" s="21" t="str"/>
      <x:c r="P6" s="22" t="str">
        <x:f>IF($M6="","",IF($N6="Totally ignorance",$M6+1,IF(OR($N6="Spark",$N6="Skeleton",$N6="Crack it"),$M6+2,"")))</x:f>
      </x:c>
      <x:c r="Q6" s="21" t="str"/>
      <x:c r="R6" s="21" t="str"/>
      <x:c r="S6" s="21" t="str"/>
    </x:row>
    <x:row r="7">
      <x:c r="A7" s="21" t="n">
        <x:v>6</x:v>
      </x:c>
      <x:c r="B7" s="22" t="n">
        <x:v>46182</x:v>
      </x:c>
      <x:c r="C7" s="21" t="str">
        <x:v>Exercise</x:v>
      </x:c>
      <x:c r="D7" s="21" t="str">
        <x:v>A. WLLN applications</x:v>
      </x:c>
      <x:c r="E7" s="21" t="str">
        <x:v>7.2</x:v>
      </x:c>
      <x:c r="F7" s="21" t="str">
        <x:v>Do Exercise 21: exponential/gamma approximation using WLLN.</x:v>
      </x:c>
      <x:c r="G7" s="21" t="str">
        <x:v>7.21</x:v>
      </x:c>
      <x:c r="H7" s="21" t="str">
        <x:v>7.2 WLLN</x:v>
      </x:c>
      <x:c r="I7" s="21" t="str">
        <x:v>Exercise 4 attempted</x:v>
      </x:c>
      <x:c r="J7" s="21" t="str"/>
      <x:c r="K7" s="22" t="str"/>
      <x:c r="L7" s="22" t="str"/>
      <x:c r="M7" s="22" t="str"/>
      <x:c r="N7" s="21" t="str"/>
      <x:c r="O7" s="21" t="str"/>
      <x:c r="P7" s="22" t="str">
        <x:f>IF($M7="","",IF($N7="Totally ignorance",$M7+1,IF(OR($N7="Spark",$N7="Skeleton",$N7="Crack it"),$M7+2,"")))</x:f>
      </x:c>
      <x:c r="Q7" s="21" t="str"/>
      <x:c r="R7" s="21" t="str"/>
      <x:c r="S7" s="21" t="str"/>
    </x:row>
    <x:row r="8">
      <x:c r="A8" s="21" t="n">
        <x:v>7</x:v>
      </x:c>
      <x:c r="B8" s="22" t="n">
        <x:v>46183</x:v>
      </x:c>
      <x:c r="C8" s="21" t="str">
        <x:v>Exercise</x:v>
      </x:c>
      <x:c r="D8" s="21" t="str">
        <x:v>A. WLLN applications</x:v>
      </x:c>
      <x:c r="E8" s="21" t="str">
        <x:v>7.2</x:v>
      </x:c>
      <x:c r="F8" s="21" t="str">
        <x:v>Do Exercise 22: WLLN and inversion of Laplace transforms.</x:v>
      </x:c>
      <x:c r="G8" s="21" t="str">
        <x:v>7.22</x:v>
      </x:c>
      <x:c r="H8" s="21" t="str">
        <x:v>7.2 WLLN</x:v>
      </x:c>
      <x:c r="I8" s="21" t="str">
        <x:v>Exercise 21 attempted</x:v>
      </x:c>
      <x:c r="J8" s="21" t="str"/>
      <x:c r="K8" s="22" t="str"/>
      <x:c r="L8" s="22" t="str"/>
      <x:c r="M8" s="22" t="str"/>
      <x:c r="N8" s="21" t="str"/>
      <x:c r="O8" s="21" t="str"/>
      <x:c r="P8" s="22" t="str">
        <x:f>IF($M8="","",IF($N8="Totally ignorance",$M8+1,IF(OR($N8="Spark",$N8="Skeleton",$N8="Crack it"),$M8+2,"")))</x:f>
      </x:c>
      <x:c r="Q8" s="21" t="str"/>
      <x:c r="R8" s="21" t="str"/>
      <x:c r="S8" s="21" t="str"/>
    </x:row>
    <x:row r="9">
      <x:c r="A9" s="21" t="n">
        <x:v>8</x:v>
      </x:c>
      <x:c r="B9" s="22" t="n">
        <x:v>46184</x:v>
      </x:c>
      <x:c r="C9" s="21" t="str">
        <x:v>Exercise</x:v>
      </x:c>
      <x:c r="D9" s="21" t="str">
        <x:v>A. WLLN applications</x:v>
      </x:c>
      <x:c r="E9" s="21" t="str">
        <x:v>7.2</x:v>
      </x:c>
      <x:c r="F9" s="21" t="str">
        <x:v>Do Exercise 23: cube approximated by annulus.</x:v>
      </x:c>
      <x:c r="G9" s="21" t="str">
        <x:v>7.23</x:v>
      </x:c>
      <x:c r="H9" s="21" t="str">
        <x:v>7.2 WLLN / iid uniform</x:v>
      </x:c>
      <x:c r="I9" s="21" t="str">
        <x:v>Exercise 22 attempted</x:v>
      </x:c>
      <x:c r="J9" s="21" t="str"/>
      <x:c r="K9" s="22" t="str"/>
      <x:c r="L9" s="22" t="str"/>
      <x:c r="M9" s="22" t="str"/>
      <x:c r="N9" s="21" t="str"/>
      <x:c r="O9" s="21" t="str"/>
      <x:c r="P9" s="22" t="str">
        <x:f>IF($M9="","",IF($N9="Totally ignorance",$M9+1,IF(OR($N9="Spark",$N9="Skeleton",$N9="Crack it"),$M9+2,"")))</x:f>
      </x:c>
      <x:c r="Q9" s="21" t="str"/>
      <x:c r="R9" s="21" t="str"/>
      <x:c r="S9" s="21" t="str"/>
    </x:row>
    <x:row r="10">
      <x:c r="A10" s="21" t="n">
        <x:v>9</x:v>
      </x:c>
      <x:c r="B10" s="22" t="n">
        <x:v>46185</x:v>
      </x:c>
      <x:c r="C10" s="21" t="str">
        <x:v>Exercise</x:v>
      </x:c>
      <x:c r="D10" s="21" t="str">
        <x:v>A. WLLN applications</x:v>
      </x:c>
      <x:c r="E10" s="21" t="str">
        <x:v>7.2</x:v>
      </x:c>
      <x:c r="F10" s="21" t="str">
        <x:v>Do Exercise 27: further WLLN applications.</x:v>
      </x:c>
      <x:c r="G10" s="21" t="str">
        <x:v>7.27</x:v>
      </x:c>
      <x:c r="H10" s="21" t="str">
        <x:v>7.2 WLLN</x:v>
      </x:c>
      <x:c r="I10" s="21" t="str">
        <x:v>Exercise 23 attempted</x:v>
      </x:c>
      <x:c r="J10" s="21" t="str"/>
      <x:c r="K10" s="22" t="str"/>
      <x:c r="L10" s="22" t="str"/>
      <x:c r="M10" s="22" t="str"/>
      <x:c r="N10" s="21" t="str"/>
      <x:c r="O10" s="21" t="str"/>
      <x:c r="P10" s="22" t="str">
        <x:f>IF($M10="","",IF($N10="Totally ignorance",$M10+1,IF(OR($N10="Spark",$N10="Skeleton",$N10="Crack it"),$M10+2,"")))</x:f>
      </x:c>
      <x:c r="Q10" s="21" t="str"/>
      <x:c r="R10" s="21" t="str"/>
      <x:c r="S10" s="21" t="str"/>
    </x:row>
    <x:row r="11">
      <x:c r="A11" s="21" t="n">
        <x:v>10</x:v>
      </x:c>
      <x:c r="B11" s="22" t="n">
        <x:v>46186</x:v>
      </x:c>
      <x:c r="C11" s="21" t="str">
        <x:v>Exercise</x:v>
      </x:c>
      <x:c r="D11" s="21" t="str">
        <x:v>A. WLLN applications</x:v>
      </x:c>
      <x:c r="E11" s="21" t="str">
        <x:v>7.2</x:v>
      </x:c>
      <x:c r="F11" s="21" t="str">
        <x:v>Do Exercise 28: uncorrelated WLLN.</x:v>
      </x:c>
      <x:c r="G11" s="21" t="str">
        <x:v>7.28</x:v>
      </x:c>
      <x:c r="H11" s="21" t="str">
        <x:v>7.2 WLLN / L2 convergence</x:v>
      </x:c>
      <x:c r="I11" s="21" t="str">
        <x:v>Exercise 27 attempted</x:v>
      </x:c>
      <x:c r="J11" s="21" t="str"/>
      <x:c r="K11" s="22" t="str"/>
      <x:c r="L11" s="22" t="str"/>
      <x:c r="M11" s="22" t="str"/>
      <x:c r="N11" s="21" t="str"/>
      <x:c r="O11" s="21" t="str"/>
      <x:c r="P11" s="22" t="str">
        <x:f>IF($M11="","",IF($N11="Totally ignorance",$M11+1,IF(OR($N11="Spark",$N11="Skeleton",$N11="Crack it"),$M11+2,"")))</x:f>
      </x:c>
      <x:c r="Q11" s="21" t="str"/>
      <x:c r="R11" s="21" t="str"/>
      <x:c r="S11" s="21" t="str"/>
    </x:row>
    <x:row r="12">
      <x:c r="A12" s="21" t="n">
        <x:v>11</x:v>
      </x:c>
      <x:c r="B12" s="22" t="n">
        <x:v>46187</x:v>
      </x:c>
      <x:c r="C12" s="21" t="str">
        <x:v>Gate</x:v>
      </x:c>
      <x:c r="D12" s="21" t="str">
        <x:v>A. WLLN foundation</x:v>
      </x:c>
      <x:c r="E12" s="21" t="str">
        <x:v>7.1–7.2</x:v>
      </x:c>
      <x:c r="F12" s="21" t="str">
        <x:v>Proceed gate: can you state the WLLN checklist without looking? If not, redo reading notes before Block B.</x:v>
      </x:c>
      <x:c r="G12" s="21" t="str"/>
      <x:c r="H12" s="21" t="str">
        <x:v>Gate before 7.3</x:v>
      </x:c>
      <x:c r="I12" s="21" t="str">
        <x:v>Exercises 2,3,4,21,22,23,27,28 attempted</x:v>
      </x:c>
      <x:c r="J12" s="21" t="str">
        <x:v>Proceed only if reading notes + at least first attempts are done</x:v>
      </x:c>
      <x:c r="K12" s="22" t="str"/>
      <x:c r="L12" s="22" t="str"/>
      <x:c r="M12" s="22" t="str"/>
      <x:c r="N12" s="21" t="str"/>
      <x:c r="O12" s="21" t="str"/>
      <x:c r="P12" s="22" t="str">
        <x:f>IF($M12="","",IF($N12="Totally ignorance",$M12+1,IF(OR($N12="Spark",$N12="Skeleton",$N12="Crack it"),$M12+2,"")))</x:f>
      </x:c>
      <x:c r="Q12" s="21" t="str"/>
      <x:c r="R12" s="21" t="str"/>
      <x:c r="S12" s="21" t="str"/>
    </x:row>
    <x:row r="13">
      <x:c r="A13" s="21" t="n">
        <x:v>12</x:v>
      </x:c>
      <x:c r="B13" s="22" t="n">
        <x:v>46188</x:v>
      </x:c>
      <x:c r="C13" s="21" t="str">
        <x:v>Read</x:v>
      </x:c>
      <x:c r="D13" s="21" t="str">
        <x:v>B. a.s. convergence of sums</x:v>
      </x:c>
      <x:c r="E13" s="21" t="str">
        <x:v>7.3</x:v>
      </x:c>
      <x:c r="F13" s="21" t="str">
        <x:v>Read: Skorohod inequality, Kolmogorov convergence criterion, and tail/convergence logic.</x:v>
      </x:c>
      <x:c r="G13" s="21" t="str"/>
      <x:c r="H13" s="21" t="str"/>
      <x:c r="I13" s="21" t="str">
        <x:v>Block A gate passed</x:v>
      </x:c>
      <x:c r="J13" s="21" t="str"/>
      <x:c r="K13" s="22" t="str"/>
      <x:c r="L13" s="22" t="str"/>
      <x:c r="M13" s="22" t="str"/>
      <x:c r="N13" s="21" t="str"/>
      <x:c r="O13" s="21" t="str"/>
      <x:c r="P13" s="22" t="str">
        <x:f>IF($M13="","",IF($N13="Totally ignorance",$M13+1,IF(OR($N13="Spark",$N13="Skeleton",$N13="Crack it"),$M13+2,"")))</x:f>
      </x:c>
      <x:c r="Q13" s="21" t="str"/>
      <x:c r="R13" s="21" t="str"/>
      <x:c r="S13" s="21" t="str"/>
    </x:row>
    <x:row r="14">
      <x:c r="A14" s="21" t="n">
        <x:v>13</x:v>
      </x:c>
      <x:c r="B14" s="22" t="n">
        <x:v>46189</x:v>
      </x:c>
      <x:c r="C14" s="21" t="str">
        <x:v>Exercise</x:v>
      </x:c>
      <x:c r="D14" s="21" t="str">
        <x:v>B. a.s. convergence of sums</x:v>
      </x:c>
      <x:c r="E14" s="21" t="str">
        <x:v>7.3</x:v>
      </x:c>
      <x:c r="F14" s="21" t="str">
        <x:v>Do Exercise 1: random signs and convergence of series.</x:v>
      </x:c>
      <x:c r="G14" s="21" t="str">
        <x:v>7.1</x:v>
      </x:c>
      <x:c r="H14" s="21" t="str">
        <x:v>7.3 series convergence / later 7.6 check</x:v>
      </x:c>
      <x:c r="I14" s="21" t="str">
        <x:v>7.3 read</x:v>
      </x:c>
      <x:c r="J14" s="21" t="str"/>
      <x:c r="K14" s="22" t="str"/>
      <x:c r="L14" s="22" t="str"/>
      <x:c r="M14" s="22" t="str"/>
      <x:c r="N14" s="21" t="str"/>
      <x:c r="O14" s="21" t="str"/>
      <x:c r="P14" s="22" t="str">
        <x:f>IF($M14="","",IF($N14="Totally ignorance",$M14+1,IF(OR($N14="Spark",$N14="Skeleton",$N14="Crack it"),$M14+2,"")))</x:f>
      </x:c>
      <x:c r="Q14" s="21" t="str"/>
      <x:c r="R14" s="21" t="str"/>
      <x:c r="S14" s="21" t="str"/>
    </x:row>
    <x:row r="15">
      <x:c r="A15" s="21" t="n">
        <x:v>14</x:v>
      </x:c>
      <x:c r="B15" s="22" t="n">
        <x:v>46190</x:v>
      </x:c>
      <x:c r="C15" s="21" t="str">
        <x:v>Exercise</x:v>
      </x:c>
      <x:c r="D15" s="21" t="str">
        <x:v>B. a.s. convergence of sums</x:v>
      </x:c>
      <x:c r="E15" s="21" t="str">
        <x:v>7.3</x:v>
      </x:c>
      <x:c r="F15" s="21" t="str">
        <x:v>Do Exercise 5: L2 convergence and random signs.</x:v>
      </x:c>
      <x:c r="G15" s="21" t="str">
        <x:v>7.5</x:v>
      </x:c>
      <x:c r="H15" s="21" t="str">
        <x:v>7.3 convergence criterion</x:v>
      </x:c>
      <x:c r="I15" s="21" t="str">
        <x:v>Exercise 1 attempted</x:v>
      </x:c>
      <x:c r="J15" s="21" t="str"/>
      <x:c r="K15" s="22" t="str"/>
      <x:c r="L15" s="22" t="str"/>
      <x:c r="M15" s="22" t="str"/>
      <x:c r="N15" s="21" t="str"/>
      <x:c r="O15" s="21" t="str"/>
      <x:c r="P15" s="22" t="str">
        <x:f>IF($M15="","",IF($N15="Totally ignorance",$M15+1,IF(OR($N15="Spark",$N15="Skeleton",$N15="Crack it"),$M15+2,"")))</x:f>
      </x:c>
      <x:c r="Q15" s="21" t="str"/>
      <x:c r="R15" s="21" t="str"/>
      <x:c r="S15" s="21" t="str"/>
    </x:row>
    <x:row r="16">
      <x:c r="A16" s="21" t="n">
        <x:v>15</x:v>
      </x:c>
      <x:c r="B16" s="22" t="n">
        <x:v>46191</x:v>
      </x:c>
      <x:c r="C16" s="21" t="str">
        <x:v>Exercise</x:v>
      </x:c>
      <x:c r="D16" s="21" t="str">
        <x:v>B. a.s. convergence of sums</x:v>
      </x:c>
      <x:c r="E16" s="21" t="str">
        <x:v>7.3</x:v>
      </x:c>
      <x:c r="F16" s="21" t="str">
        <x:v>Do Exercise 7: partial converse to Borel-Cantelli.</x:v>
      </x:c>
      <x:c r="G16" s="21" t="str">
        <x:v>7.7</x:v>
      </x:c>
      <x:c r="H16" s="21" t="str">
        <x:v>7.3 a.s. tools + Borel-Cantelli</x:v>
      </x:c>
      <x:c r="I16" s="21" t="str">
        <x:v>Exercise 5 attempted</x:v>
      </x:c>
      <x:c r="J16" s="21" t="str"/>
      <x:c r="K16" s="22" t="str"/>
      <x:c r="L16" s="22" t="str"/>
      <x:c r="M16" s="22" t="str"/>
      <x:c r="N16" s="21" t="str"/>
      <x:c r="O16" s="21" t="str"/>
      <x:c r="P16" s="22" t="str">
        <x:f>IF($M16="","",IF($N16="Totally ignorance",$M16+1,IF(OR($N16="Spark",$N16="Skeleton",$N16="Crack it"),$M16+2,"")))</x:f>
      </x:c>
      <x:c r="Q16" s="21" t="str"/>
      <x:c r="R16" s="21" t="str"/>
      <x:c r="S16" s="21" t="str"/>
    </x:row>
    <x:row r="17">
      <x:c r="A17" s="21" t="n">
        <x:v>16</x:v>
      </x:c>
      <x:c r="B17" s="22" t="n">
        <x:v>46192</x:v>
      </x:c>
      <x:c r="C17" s="21" t="str">
        <x:v>Exercise</x:v>
      </x:c>
      <x:c r="D17" s="21" t="str">
        <x:v>B. a.s. convergence of sums</x:v>
      </x:c>
      <x:c r="E17" s="21" t="str">
        <x:v>7.3</x:v>
      </x:c>
      <x:c r="F17" s="21" t="str">
        <x:v>Do Exercise 34: normal sine series convergence.</x:v>
      </x:c>
      <x:c r="G17" s="21" t="str">
        <x:v>7.34</x:v>
      </x:c>
      <x:c r="H17" s="21" t="str">
        <x:v>7.3 Kolmogorov convergence criterion</x:v>
      </x:c>
      <x:c r="I17" s="21" t="str">
        <x:v>Exercise 7 attempted</x:v>
      </x:c>
      <x:c r="J17" s="21" t="str"/>
      <x:c r="K17" s="22" t="str"/>
      <x:c r="L17" s="22" t="str"/>
      <x:c r="M17" s="22" t="str"/>
      <x:c r="N17" s="21" t="str"/>
      <x:c r="O17" s="21" t="str"/>
      <x:c r="P17" s="22" t="str">
        <x:f>IF($M17="","",IF($N17="Totally ignorance",$M17+1,IF(OR($N17="Spark",$N17="Skeleton",$N17="Crack it"),$M17+2,"")))</x:f>
      </x:c>
      <x:c r="Q17" s="21" t="str"/>
      <x:c r="R17" s="21" t="str"/>
      <x:c r="S17" s="21" t="str"/>
    </x:row>
    <x:row r="18">
      <x:c r="A18" s="21" t="n">
        <x:v>17</x:v>
      </x:c>
      <x:c r="B18" s="22" t="n">
        <x:v>46193</x:v>
      </x:c>
      <x:c r="C18" s="21" t="str">
        <x:v>Exercise</x:v>
      </x:c>
      <x:c r="D18" s="21" t="str">
        <x:v>B. a.s. convergence of sums</x:v>
      </x:c>
      <x:c r="E18" s="21" t="str">
        <x:v>7.3</x:v>
      </x:c>
      <x:c r="F18" s="21" t="str">
        <x:v>Do Exercise 38: Cantor distribution series.</x:v>
      </x:c>
      <x:c r="G18" s="21" t="str">
        <x:v>7.38</x:v>
      </x:c>
      <x:c r="H18" s="21" t="str">
        <x:v>7.3 almost sure convergence of series</x:v>
      </x:c>
      <x:c r="I18" s="21" t="str">
        <x:v>Exercise 34 attempted</x:v>
      </x:c>
      <x:c r="J18" s="21" t="str"/>
      <x:c r="K18" s="22" t="str"/>
      <x:c r="L18" s="22" t="str"/>
      <x:c r="M18" s="22" t="str"/>
      <x:c r="N18" s="21" t="str"/>
      <x:c r="O18" s="21" t="str"/>
      <x:c r="P18" s="22" t="str">
        <x:f>IF($M18="","",IF($N18="Totally ignorance",$M18+1,IF(OR($N18="Spark",$N18="Skeleton",$N18="Crack it"),$M18+2,"")))</x:f>
      </x:c>
      <x:c r="Q18" s="21" t="str"/>
      <x:c r="R18" s="21" t="str"/>
      <x:c r="S18" s="21" t="str"/>
    </x:row>
    <x:row r="19">
      <x:c r="A19" s="21" t="n">
        <x:v>18</x:v>
      </x:c>
      <x:c r="B19" s="22" t="n">
        <x:v>46194</x:v>
      </x:c>
      <x:c r="C19" s="21" t="str">
        <x:v>Exercise</x:v>
      </x:c>
      <x:c r="D19" s="21" t="str">
        <x:v>B. a.s. convergence of sums</x:v>
      </x:c>
      <x:c r="E19" s="21" t="str">
        <x:v>7.3</x:v>
      </x:c>
      <x:c r="F19" s="21" t="str">
        <x:v>Do Exercise 41: bounded differences and variance condition.</x:v>
      </x:c>
      <x:c r="G19" s="21" t="str">
        <x:v>7.41</x:v>
      </x:c>
      <x:c r="H19" s="21" t="str">
        <x:v>7.3 convergence criterion</x:v>
      </x:c>
      <x:c r="I19" s="21" t="str">
        <x:v>Exercise 38 attempted</x:v>
      </x:c>
      <x:c r="J19" s="21" t="str"/>
      <x:c r="K19" s="22" t="str"/>
      <x:c r="L19" s="22" t="str"/>
      <x:c r="M19" s="22" t="str"/>
      <x:c r="N19" s="21" t="str"/>
      <x:c r="O19" s="21" t="str"/>
      <x:c r="P19" s="22" t="str">
        <x:f>IF($M19="","",IF($N19="Totally ignorance",$M19+1,IF(OR($N19="Spark",$N19="Skeleton",$N19="Crack it"),$M19+2,"")))</x:f>
      </x:c>
      <x:c r="Q19" s="21" t="str"/>
      <x:c r="R19" s="21" t="str"/>
      <x:c r="S19" s="21" t="str"/>
    </x:row>
    <x:row r="20">
      <x:c r="A20" s="21" t="n">
        <x:v>19</x:v>
      </x:c>
      <x:c r="B20" s="22" t="n">
        <x:v>46195</x:v>
      </x:c>
      <x:c r="C20" s="21" t="str">
        <x:v>Exercise</x:v>
      </x:c>
      <x:c r="D20" s="21" t="str">
        <x:v>B. a.s. convergence of sums</x:v>
      </x:c>
      <x:c r="E20" s="21" t="str">
        <x:v>7.3</x:v>
      </x:c>
      <x:c r="F20" s="21" t="str">
        <x:v>Do Exercise 42: convergence from summable variances.</x:v>
      </x:c>
      <x:c r="G20" s="21" t="str">
        <x:v>7.42</x:v>
      </x:c>
      <x:c r="H20" s="21" t="str">
        <x:v>7.3 variance + Borel-Cantelli</x:v>
      </x:c>
      <x:c r="I20" s="21" t="str">
        <x:v>Exercise 41 attempted</x:v>
      </x:c>
      <x:c r="J20" s="21" t="str"/>
      <x:c r="K20" s="22" t="str"/>
      <x:c r="L20" s="22" t="str"/>
      <x:c r="M20" s="22" t="str"/>
      <x:c r="N20" s="21" t="str"/>
      <x:c r="O20" s="21" t="str"/>
      <x:c r="P20" s="22" t="str">
        <x:f>IF($M20="","",IF($N20="Totally ignorance",$M20+1,IF(OR($N20="Spark",$N20="Skeleton",$N20="Crack it"),$M20+2,"")))</x:f>
      </x:c>
      <x:c r="Q20" s="21" t="str"/>
      <x:c r="R20" s="21" t="str"/>
      <x:c r="S20" s="21" t="str"/>
    </x:row>
    <x:row r="21">
      <x:c r="A21" s="21" t="n">
        <x:v>20</x:v>
      </x:c>
      <x:c r="B21" s="22" t="n">
        <x:v>46196</x:v>
      </x:c>
      <x:c r="C21" s="21" t="str">
        <x:v>Gate</x:v>
      </x:c>
      <x:c r="D21" s="21" t="str">
        <x:v>B. a.s. convergence of sums</x:v>
      </x:c>
      <x:c r="E21" s="21" t="str">
        <x:v>7.3</x:v>
      </x:c>
      <x:c r="F21" s="21" t="str">
        <x:v>Proceed gate: distinguish convergence of a series from convergence of averages. Record which theorem you used for each exercise.</x:v>
      </x:c>
      <x:c r="G21" s="21" t="str"/>
      <x:c r="H21" s="21" t="str">
        <x:v>Gate before SLLN</x:v>
      </x:c>
      <x:c r="I21" s="21" t="str">
        <x:v>Block B exercises attempted</x:v>
      </x:c>
      <x:c r="J21" s="21" t="str">
        <x:v>Proceed only if theorem usage is explicit</x:v>
      </x:c>
      <x:c r="K21" s="22" t="str"/>
      <x:c r="L21" s="22" t="str"/>
      <x:c r="M21" s="22" t="str"/>
      <x:c r="N21" s="21" t="str"/>
      <x:c r="O21" s="21" t="str"/>
      <x:c r="P21" s="22" t="str">
        <x:f>IF($M21="","",IF($N21="Totally ignorance",$M21+1,IF(OR($N21="Spark",$N21="Skeleton",$N21="Crack it"),$M21+2,"")))</x:f>
      </x:c>
      <x:c r="Q21" s="21" t="str"/>
      <x:c r="R21" s="21" t="str"/>
      <x:c r="S21" s="21" t="str"/>
    </x:row>
    <x:row r="22">
      <x:c r="A22" s="21" t="n">
        <x:v>21</x:v>
      </x:c>
      <x:c r="B22" s="22" t="n">
        <x:v>46197</x:v>
      </x:c>
      <x:c r="C22" s="21" t="str">
        <x:v>Read</x:v>
      </x:c>
      <x:c r="D22" s="21" t="str">
        <x:v>C. SLLN mechanism</x:v>
      </x:c>
      <x:c r="E22" s="21" t="str">
        <x:v>7.4</x:v>
      </x:c>
      <x:c r="F22" s="21" t="str">
        <x:v>Read: Kronecker lemma and the strong law route from convergence of weighted series to normalized sums.</x:v>
      </x:c>
      <x:c r="G22" s="21" t="str"/>
      <x:c r="H22" s="21" t="str"/>
      <x:c r="I22" s="21" t="str">
        <x:v>Block B gate passed</x:v>
      </x:c>
      <x:c r="J22" s="21" t="str"/>
      <x:c r="K22" s="22" t="str"/>
      <x:c r="L22" s="22" t="str"/>
      <x:c r="M22" s="22" t="str"/>
      <x:c r="N22" s="21" t="str"/>
      <x:c r="O22" s="21" t="str"/>
      <x:c r="P22" s="22" t="str">
        <x:f>IF($M22="","",IF($N22="Totally ignorance",$M22+1,IF(OR($N22="Spark",$N22="Skeleton",$N22="Crack it"),$M22+2,"")))</x:f>
      </x:c>
      <x:c r="Q22" s="21" t="str"/>
      <x:c r="R22" s="21" t="str"/>
      <x:c r="S22" s="21" t="str"/>
    </x:row>
    <x:row r="23">
      <x:c r="A23" s="21" t="n">
        <x:v>22</x:v>
      </x:c>
      <x:c r="B23" s="22" t="n">
        <x:v>46198</x:v>
      </x:c>
      <x:c r="C23" s="21" t="str">
        <x:v>Read</x:v>
      </x:c>
      <x:c r="D23" s="21" t="str">
        <x:v>C. SLLN mechanism</x:v>
      </x:c>
      <x:c r="E23" s="21" t="str">
        <x:v>7.4.1</x:v>
      </x:c>
      <x:c r="F23" s="21" t="str">
        <x:v>Read: two examples. Record how record counts and pure birth process use the preceding machinery.</x:v>
      </x:c>
      <x:c r="G23" s="21" t="str"/>
      <x:c r="H23" s="21" t="str"/>
      <x:c r="I23" s="21" t="str">
        <x:v>7.4 read</x:v>
      </x:c>
      <x:c r="J23" s="21" t="str"/>
      <x:c r="K23" s="22" t="str"/>
      <x:c r="L23" s="22" t="str"/>
      <x:c r="M23" s="22" t="str"/>
      <x:c r="N23" s="21" t="str"/>
      <x:c r="O23" s="21" t="str"/>
      <x:c r="P23" s="22" t="str">
        <x:f>IF($M23="","",IF($N23="Totally ignorance",$M23+1,IF(OR($N23="Spark",$N23="Skeleton",$N23="Crack it"),$M23+2,"")))</x:f>
      </x:c>
      <x:c r="Q23" s="21" t="str"/>
      <x:c r="R23" s="21" t="str"/>
      <x:c r="S23" s="21" t="str"/>
    </x:row>
    <x:row r="24">
      <x:c r="A24" s="21" t="n">
        <x:v>23</x:v>
      </x:c>
      <x:c r="B24" s="22" t="n">
        <x:v>46199</x:v>
      </x:c>
      <x:c r="C24" s="21" t="str">
        <x:v>Exercise</x:v>
      </x:c>
      <x:c r="D24" s="21" t="str">
        <x:v>C. SLLN mechanism</x:v>
      </x:c>
      <x:c r="E24" s="21" t="str">
        <x:v>7.4</x:v>
      </x:c>
      <x:c r="F24" s="21" t="str">
        <x:v>Do Exercise 18: stronger normalization with sqrt(n) log n.</x:v>
      </x:c>
      <x:c r="G24" s="21" t="str">
        <x:v>7.18</x:v>
      </x:c>
      <x:c r="H24" s="21" t="str">
        <x:v>7.4 Kronecker / convergence criterion</x:v>
      </x:c>
      <x:c r="I24" s="21" t="str">
        <x:v>7.4 read</x:v>
      </x:c>
      <x:c r="J24" s="21" t="str"/>
      <x:c r="K24" s="22" t="str"/>
      <x:c r="L24" s="22" t="str"/>
      <x:c r="M24" s="22" t="str"/>
      <x:c r="N24" s="21" t="str"/>
      <x:c r="O24" s="21" t="str"/>
      <x:c r="P24" s="22" t="str">
        <x:f>IF($M24="","",IF($N24="Totally ignorance",$M24+1,IF(OR($N24="Spark",$N24="Skeleton",$N24="Crack it"),$M24+2,"")))</x:f>
      </x:c>
      <x:c r="Q24" s="21" t="str"/>
      <x:c r="R24" s="21" t="str"/>
      <x:c r="S24" s="21" t="str"/>
    </x:row>
    <x:row r="25">
      <x:c r="A25" s="21" t="n">
        <x:v>24</x:v>
      </x:c>
      <x:c r="B25" s="22" t="n">
        <x:v>46200</x:v>
      </x:c>
      <x:c r="C25" s="21" t="str">
        <x:v>Exercise</x:v>
      </x:c>
      <x:c r="D25" s="21" t="str">
        <x:v>C. SLLN mechanism</x:v>
      </x:c>
      <x:c r="E25" s="21" t="str">
        <x:v>7.4</x:v>
      </x:c>
      <x:c r="F25" s="21" t="str">
        <x:v>Do Exercise 31: Poisson sums normalized by expectation.</x:v>
      </x:c>
      <x:c r="G25" s="21" t="str">
        <x:v>7.31</x:v>
      </x:c>
      <x:c r="H25" s="21" t="str">
        <x:v>7.4 SLLN for independent non-iid</x:v>
      </x:c>
      <x:c r="I25" s="21" t="str">
        <x:v>Exercise 18 attempted</x:v>
      </x:c>
      <x:c r="J25" s="21" t="str"/>
      <x:c r="K25" s="22" t="str"/>
      <x:c r="L25" s="22" t="str"/>
      <x:c r="M25" s="22" t="str"/>
      <x:c r="N25" s="21" t="str"/>
      <x:c r="O25" s="21" t="str"/>
      <x:c r="P25" s="22" t="str">
        <x:f>IF($M25="","",IF($N25="Totally ignorance",$M25+1,IF(OR($N25="Spark",$N25="Skeleton",$N25="Crack it"),$M25+2,"")))</x:f>
      </x:c>
      <x:c r="Q25" s="21" t="str"/>
      <x:c r="R25" s="21" t="str"/>
      <x:c r="S25" s="21" t="str"/>
    </x:row>
    <x:row r="26">
      <x:c r="A26" s="21" t="n">
        <x:v>25</x:v>
      </x:c>
      <x:c r="B26" s="22" t="n">
        <x:v>46201</x:v>
      </x:c>
      <x:c r="C26" s="21" t="str">
        <x:v>Exercise</x:v>
      </x:c>
      <x:c r="D26" s="21" t="str">
        <x:v>C. SLLN mechanism</x:v>
      </x:c>
      <x:c r="E26" s="21" t="str">
        <x:v>7.4</x:v>
      </x:c>
      <x:c r="F26" s="21" t="str">
        <x:v>Do Exercise 32: max of exponentials over log n.</x:v>
      </x:c>
      <x:c r="G26" s="21" t="str">
        <x:v>7.32</x:v>
      </x:c>
      <x:c r="H26" s="21" t="str">
        <x:v>7.4 examples + Borel-Cantelli</x:v>
      </x:c>
      <x:c r="I26" s="21" t="str">
        <x:v>Exercise 31 attempted</x:v>
      </x:c>
      <x:c r="J26" s="21" t="str"/>
      <x:c r="K26" s="22" t="str"/>
      <x:c r="L26" s="22" t="str"/>
      <x:c r="M26" s="22" t="str"/>
      <x:c r="N26" s="21" t="str"/>
      <x:c r="O26" s="21" t="str"/>
      <x:c r="P26" s="22" t="str">
        <x:f>IF($M26="","",IF($N26="Totally ignorance",$M26+1,IF(OR($N26="Spark",$N26="Skeleton",$N26="Crack it"),$M26+2,"")))</x:f>
      </x:c>
      <x:c r="Q26" s="21" t="str"/>
      <x:c r="R26" s="21" t="str"/>
      <x:c r="S26" s="21" t="str"/>
    </x:row>
    <x:row r="27">
      <x:c r="A27" s="21" t="n">
        <x:v>26</x:v>
      </x:c>
      <x:c r="B27" s="22" t="n">
        <x:v>46202</x:v>
      </x:c>
      <x:c r="C27" s="21" t="str">
        <x:v>Exercise</x:v>
      </x:c>
      <x:c r="D27" s="21" t="str">
        <x:v>C. SLLN mechanism</x:v>
      </x:c>
      <x:c r="E27" s="21" t="str">
        <x:v>7.4</x:v>
      </x:c>
      <x:c r="F27" s="21" t="str">
        <x:v>Do Exercise 40: a.s. convergence criterion via probability and dyadic subsequence.</x:v>
      </x:c>
      <x:c r="G27" s="21" t="str">
        <x:v>7.40</x:v>
      </x:c>
      <x:c r="H27" s="21" t="str">
        <x:v>7.4 a.s. vs i.p. bridge</x:v>
      </x:c>
      <x:c r="I27" s="21" t="str">
        <x:v>Exercise 32 attempted</x:v>
      </x:c>
      <x:c r="J27" s="21" t="str"/>
      <x:c r="K27" s="22" t="str"/>
      <x:c r="L27" s="22" t="str"/>
      <x:c r="M27" s="22" t="str"/>
      <x:c r="N27" s="21" t="str"/>
      <x:c r="O27" s="21" t="str"/>
      <x:c r="P27" s="22" t="str">
        <x:f>IF($M27="","",IF($N27="Totally ignorance",$M27+1,IF(OR($N27="Spark",$N27="Skeleton",$N27="Crack it"),$M27+2,"")))</x:f>
      </x:c>
      <x:c r="Q27" s="21" t="str"/>
      <x:c r="R27" s="21" t="str"/>
      <x:c r="S27" s="21" t="str"/>
    </x:row>
    <x:row r="28">
      <x:c r="A28" s="21" t="n">
        <x:v>27</x:v>
      </x:c>
      <x:c r="B28" s="22" t="n">
        <x:v>46203</x:v>
      </x:c>
      <x:c r="C28" s="21" t="str">
        <x:v>Gate</x:v>
      </x:c>
      <x:c r="D28" s="21" t="str">
        <x:v>C. SLLN mechanism</x:v>
      </x:c>
      <x:c r="E28" s="21" t="str">
        <x:v>7.4</x:v>
      </x:c>
      <x:c r="F28" s="21" t="str">
        <x:v>Proceed gate: can you explain why Kronecker lemma is not just algebra but a device for SLLN?</x:v>
      </x:c>
      <x:c r="G28" s="21" t="str"/>
      <x:c r="H28" s="21" t="str">
        <x:v>Gate before iid SLLN</x:v>
      </x:c>
      <x:c r="I28" s="21" t="str">
        <x:v>Block C exercises attempted</x:v>
      </x:c>
      <x:c r="J28" s="21" t="str">
        <x:v>Proceed only if Kronecker role is clear</x:v>
      </x:c>
      <x:c r="K28" s="22" t="str"/>
      <x:c r="L28" s="22" t="str"/>
      <x:c r="M28" s="22" t="str"/>
      <x:c r="N28" s="21" t="str"/>
      <x:c r="O28" s="21" t="str"/>
      <x:c r="P28" s="22" t="str">
        <x:f>IF($M28="","",IF($N28="Totally ignorance",$M28+1,IF(OR($N28="Spark",$N28="Skeleton",$N28="Crack it"),$M28+2,"")))</x:f>
      </x:c>
      <x:c r="Q28" s="21" t="str"/>
      <x:c r="R28" s="21" t="str"/>
      <x:c r="S28" s="21" t="str"/>
    </x:row>
    <x:row r="29">
      <x:c r="A29" s="21" t="n">
        <x:v>28</x:v>
      </x:c>
      <x:c r="B29" s="22" t="n">
        <x:v>46204</x:v>
      </x:c>
      <x:c r="C29" s="21" t="str">
        <x:v>Read</x:v>
      </x:c>
      <x:c r="D29" s="21" t="str">
        <x:v>D. iid SLLN and applications</x:v>
      </x:c>
      <x:c r="E29" s="21" t="str">
        <x:v>7.5</x:v>
      </x:c>
      <x:c r="F29" s="21" t="str">
        <x:v>Read: SLLN for iid sequences. Make an assumptions map: iid + integrability -&gt; a.s. average convergence.</x:v>
      </x:c>
      <x:c r="G29" s="21" t="str"/>
      <x:c r="H29" s="21" t="str"/>
      <x:c r="I29" s="21" t="str">
        <x:v>Block C gate passed</x:v>
      </x:c>
      <x:c r="J29" s="21" t="str"/>
      <x:c r="K29" s="22" t="str"/>
      <x:c r="L29" s="22" t="str"/>
      <x:c r="M29" s="22" t="str"/>
      <x:c r="N29" s="21" t="str"/>
      <x:c r="O29" s="21" t="str"/>
      <x:c r="P29" s="22" t="str">
        <x:f>IF($M29="","",IF($N29="Totally ignorance",$M29+1,IF(OR($N29="Spark",$N29="Skeleton",$N29="Crack it"),$M29+2,"")))</x:f>
      </x:c>
      <x:c r="Q29" s="21" t="str"/>
      <x:c r="R29" s="21" t="str"/>
      <x:c r="S29" s="21" t="str"/>
    </x:row>
    <x:row r="30">
      <x:c r="A30" s="21" t="n">
        <x:v>29</x:v>
      </x:c>
      <x:c r="B30" s="22" t="n">
        <x:v>46205</x:v>
      </x:c>
      <x:c r="C30" s="21" t="str">
        <x:v>Read</x:v>
      </x:c>
      <x:c r="D30" s="21" t="str">
        <x:v>D. iid SLLN and applications</x:v>
      </x:c>
      <x:c r="E30" s="21" t="str">
        <x:v>7.5.1</x:v>
      </x:c>
      <x:c r="F30" s="21" t="str">
        <x:v>Read: applications of SLLN. Separate 'proof pattern' from 'application interpretation'.</x:v>
      </x:c>
      <x:c r="G30" s="21" t="str"/>
      <x:c r="H30" s="21" t="str"/>
      <x:c r="I30" s="21" t="str">
        <x:v>7.5 read</x:v>
      </x:c>
      <x:c r="J30" s="21" t="str"/>
      <x:c r="K30" s="22" t="str"/>
      <x:c r="L30" s="22" t="str"/>
      <x:c r="M30" s="22" t="str"/>
      <x:c r="N30" s="21" t="str"/>
      <x:c r="O30" s="21" t="str"/>
      <x:c r="P30" s="22" t="str">
        <x:f>IF($M30="","",IF($N30="Totally ignorance",$M30+1,IF(OR($N30="Spark",$N30="Skeleton",$N30="Crack it"),$M30+2,"")))</x:f>
      </x:c>
      <x:c r="Q30" s="21" t="str"/>
      <x:c r="R30" s="21" t="str"/>
      <x:c r="S30" s="21" t="str"/>
    </x:row>
    <x:row r="31">
      <x:c r="A31" s="21" t="n">
        <x:v>30</x:v>
      </x:c>
      <x:c r="B31" s="22" t="n">
        <x:v>46206</x:v>
      </x:c>
      <x:c r="C31" s="21" t="str">
        <x:v>Exercise</x:v>
      </x:c>
      <x:c r="D31" s="21" t="str">
        <x:v>D. iid SLLN and applications</x:v>
      </x:c>
      <x:c r="E31" s="21" t="str">
        <x:v>7.5–7.5.1</x:v>
      </x:c>
      <x:c r="F31" s="21" t="str">
        <x:v>Do Exercise 8: SLLN plus L1 convergence via uniform integrability.</x:v>
      </x:c>
      <x:c r="G31" s="21" t="str">
        <x:v>7.8</x:v>
      </x:c>
      <x:c r="H31" s="21" t="str">
        <x:v>7.5 SLLN + Chapter 6 UI</x:v>
      </x:c>
      <x:c r="I31" s="21" t="str">
        <x:v>7.5–7.5.1 read or previous listed exercise attempted</x:v>
      </x:c>
      <x:c r="J31" s="21" t="str"/>
      <x:c r="K31" s="22" t="str"/>
      <x:c r="L31" s="22" t="str"/>
      <x:c r="M31" s="22" t="str"/>
      <x:c r="N31" s="21" t="str"/>
      <x:c r="O31" s="21" t="str"/>
      <x:c r="P31" s="22" t="str">
        <x:f>IF($M31="","",IF($N31="Totally ignorance",$M31+1,IF(OR($N31="Spark",$N31="Skeleton",$N31="Crack it"),$M31+2,"")))</x:f>
      </x:c>
      <x:c r="Q31" s="21" t="str"/>
      <x:c r="R31" s="21" t="str"/>
      <x:c r="S31" s="21" t="str"/>
    </x:row>
    <x:row r="32">
      <x:c r="A32" s="21" t="n">
        <x:v>31</x:v>
      </x:c>
      <x:c r="B32" s="22" t="n">
        <x:v>46207</x:v>
      </x:c>
      <x:c r="C32" s="21" t="str">
        <x:v>Exercise</x:v>
      </x:c>
      <x:c r="D32" s="21" t="str">
        <x:v>D. iid SLLN and applications</x:v>
      </x:c>
      <x:c r="E32" s="21" t="str">
        <x:v>7.5–7.5.1</x:v>
      </x:c>
      <x:c r="F32" s="21" t="str">
        <x:v>Do Exercise 9: bounded coefficient weighted average.</x:v>
      </x:c>
      <x:c r="G32" s="21" t="str">
        <x:v>7.9</x:v>
      </x:c>
      <x:c r="H32" s="21" t="str">
        <x:v>7.5 proof of SLLN</x:v>
      </x:c>
      <x:c r="I32" s="21" t="str">
        <x:v>7.5–7.5.1 read or previous listed exercise attempted</x:v>
      </x:c>
      <x:c r="J32" s="21" t="str"/>
      <x:c r="K32" s="22" t="str"/>
      <x:c r="L32" s="22" t="str"/>
      <x:c r="M32" s="22" t="str"/>
      <x:c r="N32" s="21" t="str"/>
      <x:c r="O32" s="21" t="str"/>
      <x:c r="P32" s="22" t="str">
        <x:f>IF($M32="","",IF($N32="Totally ignorance",$M32+1,IF(OR($N32="Spark",$N32="Skeleton",$N32="Crack it"),$M32+2,"")))</x:f>
      </x:c>
      <x:c r="Q32" s="21" t="str"/>
      <x:c r="R32" s="21" t="str"/>
      <x:c r="S32" s="21" t="str"/>
    </x:row>
    <x:row r="33">
      <x:c r="A33" s="21" t="n">
        <x:v>32</x:v>
      </x:c>
      <x:c r="B33" s="22" t="n">
        <x:v>46208</x:v>
      </x:c>
      <x:c r="C33" s="21" t="str">
        <x:v>Exercise</x:v>
      </x:c>
      <x:c r="D33" s="21" t="str">
        <x:v>D. iid SLLN and applications</x:v>
      </x:c>
      <x:c r="E33" s="21" t="str">
        <x:v>7.5–7.5.1</x:v>
      </x:c>
      <x:c r="F33" s="21" t="str">
        <x:v>Do Exercise 10: m-dependent sequence and block frequencies.</x:v>
      </x:c>
      <x:c r="G33" s="21" t="str">
        <x:v>7.10</x:v>
      </x:c>
      <x:c r="H33" s="21" t="str">
        <x:v>7.5 applications</x:v>
      </x:c>
      <x:c r="I33" s="21" t="str">
        <x:v>7.5–7.5.1 read or previous listed exercise attempted</x:v>
      </x:c>
      <x:c r="J33" s="21" t="str"/>
      <x:c r="K33" s="22" t="str"/>
      <x:c r="L33" s="22" t="str"/>
      <x:c r="M33" s="22" t="str"/>
      <x:c r="N33" s="21" t="str"/>
      <x:c r="O33" s="21" t="str"/>
      <x:c r="P33" s="22" t="str">
        <x:f>IF($M33="","",IF($N33="Totally ignorance",$M33+1,IF(OR($N33="Spark",$N33="Skeleton",$N33="Crack it"),$M33+2,"")))</x:f>
      </x:c>
      <x:c r="Q33" s="21" t="str"/>
      <x:c r="R33" s="21" t="str"/>
      <x:c r="S33" s="21" t="str"/>
    </x:row>
    <x:row r="34">
      <x:c r="A34" s="21" t="n">
        <x:v>33</x:v>
      </x:c>
      <x:c r="B34" s="22" t="n">
        <x:v>46209</x:v>
      </x:c>
      <x:c r="C34" s="21" t="str">
        <x:v>Exercise</x:v>
      </x:c>
      <x:c r="D34" s="21" t="str">
        <x:v>D. iid SLLN and applications</x:v>
      </x:c>
      <x:c r="E34" s="21" t="str">
        <x:v>7.5–7.5.1</x:v>
      </x:c>
      <x:c r="F34" s="21" t="str">
        <x:v>Do Exercise 12: iterative uniforms and log limit.</x:v>
      </x:c>
      <x:c r="G34" s="21" t="str">
        <x:v>7.12</x:v>
      </x:c>
      <x:c r="H34" s="21" t="str">
        <x:v>7.5 SLLN transformation</x:v>
      </x:c>
      <x:c r="I34" s="21" t="str">
        <x:v>7.5–7.5.1 read or previous listed exercise attempted</x:v>
      </x:c>
      <x:c r="J34" s="21" t="str"/>
      <x:c r="K34" s="22" t="str"/>
      <x:c r="L34" s="22" t="str"/>
      <x:c r="M34" s="22" t="str"/>
      <x:c r="N34" s="21" t="str"/>
      <x:c r="O34" s="21" t="str"/>
      <x:c r="P34" s="22" t="str">
        <x:f>IF($M34="","",IF($N34="Totally ignorance",$M34+1,IF(OR($N34="Spark",$N34="Skeleton",$N34="Crack it"),$M34+2,"")))</x:f>
      </x:c>
      <x:c r="Q34" s="21" t="str"/>
      <x:c r="R34" s="21" t="str"/>
      <x:c r="S34" s="21" t="str"/>
    </x:row>
    <x:row r="35">
      <x:c r="A35" s="21" t="n">
        <x:v>34</x:v>
      </x:c>
      <x:c r="B35" s="22" t="n">
        <x:v>46210</x:v>
      </x:c>
      <x:c r="C35" s="21" t="str">
        <x:v>Exercise</x:v>
      </x:c>
      <x:c r="D35" s="21" t="str">
        <x:v>D. iid SLLN and applications</x:v>
      </x:c>
      <x:c r="E35" s="21" t="str">
        <x:v>7.5–7.5.1</x:v>
      </x:c>
      <x:c r="F35" s="21" t="str">
        <x:v>Do Exercise 16: maximum term over sum with nonzero mean.</x:v>
      </x:c>
      <x:c r="G35" s="21" t="str">
        <x:v>7.16</x:v>
      </x:c>
      <x:c r="H35" s="21" t="str">
        <x:v>7.5 SLLN</x:v>
      </x:c>
      <x:c r="I35" s="21" t="str">
        <x:v>7.5–7.5.1 read or previous listed exercise attempted</x:v>
      </x:c>
      <x:c r="J35" s="21" t="str"/>
      <x:c r="K35" s="22" t="str"/>
      <x:c r="L35" s="22" t="str"/>
      <x:c r="M35" s="22" t="str"/>
      <x:c r="N35" s="21" t="str"/>
      <x:c r="O35" s="21" t="str"/>
      <x:c r="P35" s="22" t="str">
        <x:f>IF($M35="","",IF($N35="Totally ignorance",$M35+1,IF(OR($N35="Spark",$N35="Skeleton",$N35="Crack it"),$M35+2,"")))</x:f>
      </x:c>
      <x:c r="Q35" s="21" t="str"/>
      <x:c r="R35" s="21" t="str"/>
      <x:c r="S35" s="21" t="str"/>
    </x:row>
    <x:row r="36">
      <x:c r="A36" s="21" t="n">
        <x:v>35</x:v>
      </x:c>
      <x:c r="B36" s="22" t="n">
        <x:v>46211</x:v>
      </x:c>
      <x:c r="C36" s="21" t="str">
        <x:v>Exercise</x:v>
      </x:c>
      <x:c r="D36" s="21" t="str">
        <x:v>D. iid SLLN and applications</x:v>
      </x:c>
      <x:c r="E36" s="21" t="str">
        <x:v>7.5–7.5.1</x:v>
      </x:c>
      <x:c r="F36" s="21" t="str">
        <x:v>Do Exercise 35: one-sided infinite mean and truncation.</x:v>
      </x:c>
      <x:c r="G36" s="21" t="str">
        <x:v>7.35</x:v>
      </x:c>
      <x:c r="H36" s="21" t="str">
        <x:v>7.5 SLLN + truncation</x:v>
      </x:c>
      <x:c r="I36" s="21" t="str">
        <x:v>7.5–7.5.1 read or previous listed exercise attempted</x:v>
      </x:c>
      <x:c r="J36" s="21" t="str"/>
      <x:c r="K36" s="22" t="str"/>
      <x:c r="L36" s="22" t="str"/>
      <x:c r="M36" s="22" t="str"/>
      <x:c r="N36" s="21" t="str"/>
      <x:c r="O36" s="21" t="str"/>
      <x:c r="P36" s="22" t="str">
        <x:f>IF($M36="","",IF($N36="Totally ignorance",$M36+1,IF(OR($N36="Spark",$N36="Skeleton",$N36="Crack it"),$M36+2,"")))</x:f>
      </x:c>
      <x:c r="Q36" s="21" t="str"/>
      <x:c r="R36" s="21" t="str"/>
      <x:c r="S36" s="21" t="str"/>
    </x:row>
    <x:row r="37">
      <x:c r="A37" s="21" t="n">
        <x:v>36</x:v>
      </x:c>
      <x:c r="B37" s="22" t="n">
        <x:v>46212</x:v>
      </x:c>
      <x:c r="C37" s="21" t="str">
        <x:v>Exercise</x:v>
      </x:c>
      <x:c r="D37" s="21" t="str">
        <x:v>D. iid SLLN and applications</x:v>
      </x:c>
      <x:c r="E37" s="21" t="str">
        <x:v>7.5–7.5.1</x:v>
      </x:c>
      <x:c r="F37" s="21" t="str">
        <x:v>Do Exercise 39: independent indicators WLLN.</x:v>
      </x:c>
      <x:c r="G37" s="21" t="str">
        <x:v>7.39</x:v>
      </x:c>
      <x:c r="H37" s="21" t="str">
        <x:v>7.5 SLLN / WLLN</x:v>
      </x:c>
      <x:c r="I37" s="21" t="str">
        <x:v>7.5–7.5.1 read or previous listed exercise attempted</x:v>
      </x:c>
      <x:c r="J37" s="21" t="str"/>
      <x:c r="K37" s="22" t="str"/>
      <x:c r="L37" s="22" t="str"/>
      <x:c r="M37" s="22" t="str"/>
      <x:c r="N37" s="21" t="str"/>
      <x:c r="O37" s="21" t="str"/>
      <x:c r="P37" s="22" t="str">
        <x:f>IF($M37="","",IF($N37="Totally ignorance",$M37+1,IF(OR($N37="Spark",$N37="Skeleton",$N37="Crack it"),$M37+2,"")))</x:f>
      </x:c>
      <x:c r="Q37" s="21" t="str"/>
      <x:c r="R37" s="21" t="str"/>
      <x:c r="S37" s="21" t="str"/>
    </x:row>
    <x:row r="38">
      <x:c r="A38" s="21" t="n">
        <x:v>37</x:v>
      </x:c>
      <x:c r="B38" s="22" t="n">
        <x:v>46213</x:v>
      </x:c>
      <x:c r="C38" s="21" t="str">
        <x:v>Exercise</x:v>
      </x:c>
      <x:c r="D38" s="21" t="str">
        <x:v>D. iid SLLN and applications</x:v>
      </x:c>
      <x:c r="E38" s="21" t="str">
        <x:v>7.5–7.5.1</x:v>
      </x:c>
      <x:c r="F38" s="21" t="str">
        <x:v>Do Exercise 43: Bernoulli expansion distributions and singularity.</x:v>
      </x:c>
      <x:c r="G38" s="21" t="str">
        <x:v>7.43</x:v>
      </x:c>
      <x:c r="H38" s="21" t="str">
        <x:v>7.5 SLLN</x:v>
      </x:c>
      <x:c r="I38" s="21" t="str">
        <x:v>7.5–7.5.1 read or previous listed exercise attempted</x:v>
      </x:c>
      <x:c r="J38" s="21" t="str"/>
      <x:c r="K38" s="22" t="str"/>
      <x:c r="L38" s="22" t="str"/>
      <x:c r="M38" s="22" t="str"/>
      <x:c r="N38" s="21" t="str"/>
      <x:c r="O38" s="21" t="str"/>
      <x:c r="P38" s="22" t="str">
        <x:f>IF($M38="","",IF($N38="Totally ignorance",$M38+1,IF(OR($N38="Spark",$N38="Skeleton",$N38="Crack it"),$M38+2,"")))</x:f>
      </x:c>
      <x:c r="Q38" s="21" t="str"/>
      <x:c r="R38" s="21" t="str"/>
      <x:c r="S38" s="21" t="str"/>
    </x:row>
    <x:row r="39">
      <x:c r="A39" s="21" t="n">
        <x:v>38</x:v>
      </x:c>
      <x:c r="B39" s="22" t="n">
        <x:v>46214</x:v>
      </x:c>
      <x:c r="C39" s="21" t="str">
        <x:v>Exercise</x:v>
      </x:c>
      <x:c r="D39" s="21" t="str">
        <x:v>D. iid SLLN and applications</x:v>
      </x:c>
      <x:c r="E39" s="21" t="str">
        <x:v>7.5–7.5.1</x:v>
      </x:c>
      <x:c r="F39" s="21" t="str">
        <x:v>Do Exercise 44: likelihood ratio product.</x:v>
      </x:c>
      <x:c r="G39" s="21" t="str">
        <x:v>7.44</x:v>
      </x:c>
      <x:c r="H39" s="21" t="str">
        <x:v>7.5 SLLN on log likelihood ratio</x:v>
      </x:c>
      <x:c r="I39" s="21" t="str">
        <x:v>7.5–7.5.1 read or previous listed exercise attempted</x:v>
      </x:c>
      <x:c r="J39" s="21" t="str"/>
      <x:c r="K39" s="22" t="str"/>
      <x:c r="L39" s="22" t="str"/>
      <x:c r="M39" s="22" t="str"/>
      <x:c r="N39" s="21" t="str"/>
      <x:c r="O39" s="21" t="str"/>
      <x:c r="P39" s="22" t="str">
        <x:f>IF($M39="","",IF($N39="Totally ignorance",$M39+1,IF(OR($N39="Spark",$N39="Skeleton",$N39="Crack it"),$M39+2,"")))</x:f>
      </x:c>
      <x:c r="Q39" s="21" t="str"/>
      <x:c r="R39" s="21" t="str"/>
      <x:c r="S39" s="21" t="str"/>
    </x:row>
    <x:row r="40">
      <x:c r="A40" s="21" t="n">
        <x:v>39</x:v>
      </x:c>
      <x:c r="B40" s="22" t="n">
        <x:v>46215</x:v>
      </x:c>
      <x:c r="C40" s="21" t="str">
        <x:v>Exercise</x:v>
      </x:c>
      <x:c r="D40" s="21" t="str">
        <x:v>D. iid SLLN and applications</x:v>
      </x:c>
      <x:c r="E40" s="21" t="str">
        <x:v>7.5–7.5.1</x:v>
      </x:c>
      <x:c r="F40" s="21" t="str">
        <x:v>Do Exercise 45: entropy from matching probability.</x:v>
      </x:c>
      <x:c r="G40" s="21" t="str">
        <x:v>7.45</x:v>
      </x:c>
      <x:c r="H40" s="21" t="str">
        <x:v>7.5 SLLN / information interpretation</x:v>
      </x:c>
      <x:c r="I40" s="21" t="str">
        <x:v>7.5–7.5.1 read or previous listed exercise attempted</x:v>
      </x:c>
      <x:c r="J40" s="21" t="str"/>
      <x:c r="K40" s="22" t="str"/>
      <x:c r="L40" s="22" t="str"/>
      <x:c r="M40" s="22" t="str"/>
      <x:c r="N40" s="21" t="str"/>
      <x:c r="O40" s="21" t="str"/>
      <x:c r="P40" s="22" t="str">
        <x:f>IF($M40="","",IF($N40="Totally ignorance",$M40+1,IF(OR($N40="Spark",$N40="Skeleton",$N40="Crack it"),$M40+2,"")))</x:f>
      </x:c>
      <x:c r="Q40" s="21" t="str"/>
      <x:c r="R40" s="21" t="str"/>
      <x:c r="S40" s="21" t="str"/>
    </x:row>
    <x:row r="41">
      <x:c r="A41" s="21" t="n">
        <x:v>40</x:v>
      </x:c>
      <x:c r="B41" s="22" t="n">
        <x:v>46216</x:v>
      </x:c>
      <x:c r="C41" s="21" t="str">
        <x:v>Gate</x:v>
      </x:c>
      <x:c r="D41" s="21" t="str">
        <x:v>D. iid SLLN and applications</x:v>
      </x:c>
      <x:c r="E41" s="21" t="str">
        <x:v>7.5–7.5.1</x:v>
      </x:c>
      <x:c r="F41" s="21" t="str">
        <x:v>Proceed gate: decide for each SLLN exercise whether it is direct SLLN, transformed SLLN, or truncation + SLLN.</x:v>
      </x:c>
      <x:c r="G41" s="21" t="str"/>
      <x:c r="H41" s="21" t="str">
        <x:v>Gate before three-series</x:v>
      </x:c>
      <x:c r="I41" s="21" t="str">
        <x:v>Block D exercises attempted</x:v>
      </x:c>
      <x:c r="J41" s="21" t="str">
        <x:v>Proceed only if each exercise has a theorem label</x:v>
      </x:c>
      <x:c r="K41" s="22" t="str"/>
      <x:c r="L41" s="22" t="str"/>
      <x:c r="M41" s="22" t="str"/>
      <x:c r="N41" s="21" t="str"/>
      <x:c r="O41" s="21" t="str"/>
      <x:c r="P41" s="22" t="str">
        <x:f>IF($M41="","",IF($N41="Totally ignorance",$M41+1,IF(OR($N41="Spark",$N41="Skeleton",$N41="Crack it"),$M41+2,"")))</x:f>
      </x:c>
      <x:c r="Q41" s="21" t="str"/>
      <x:c r="R41" s="21" t="str"/>
      <x:c r="S41" s="21" t="str"/>
    </x:row>
    <x:row r="42">
      <x:c r="A42" s="21" t="n">
        <x:v>41</x:v>
      </x:c>
      <x:c r="B42" s="22" t="n">
        <x:v>46217</x:v>
      </x:c>
      <x:c r="C42" s="21" t="str">
        <x:v>Read</x:v>
      </x:c>
      <x:c r="D42" s="21" t="str">
        <x:v>E. Three-series theorem</x:v>
      </x:c>
      <x:c r="E42" s="21" t="str">
        <x:v>7.6</x:v>
      </x:c>
      <x:c r="F42" s="21" t="str">
        <x:v>Read: sufficiency of Kolmogorov three-series theorem. Make a three-column checklist: large jumps, variances, means.</x:v>
      </x:c>
      <x:c r="G42" s="21" t="str"/>
      <x:c r="H42" s="21" t="str"/>
      <x:c r="I42" s="21" t="str">
        <x:v>Block D gate passed</x:v>
      </x:c>
      <x:c r="J42" s="21" t="str"/>
      <x:c r="K42" s="22" t="str"/>
      <x:c r="L42" s="22" t="str"/>
      <x:c r="M42" s="22" t="str"/>
      <x:c r="N42" s="21" t="str"/>
      <x:c r="O42" s="21" t="str"/>
      <x:c r="P42" s="22" t="str">
        <x:f>IF($M42="","",IF($N42="Totally ignorance",$M42+1,IF(OR($N42="Spark",$N42="Skeleton",$N42="Crack it"),$M42+2,"")))</x:f>
      </x:c>
      <x:c r="Q42" s="21" t="str"/>
      <x:c r="R42" s="21" t="str"/>
      <x:c r="S42" s="21" t="str"/>
    </x:row>
    <x:row r="43">
      <x:c r="A43" s="21" t="n">
        <x:v>42</x:v>
      </x:c>
      <x:c r="B43" s="22" t="n">
        <x:v>46218</x:v>
      </x:c>
      <x:c r="C43" s="21" t="str">
        <x:v>Read</x:v>
      </x:c>
      <x:c r="D43" s="21" t="str">
        <x:v>E. Three-series theorem</x:v>
      </x:c>
      <x:c r="E43" s="21" t="str">
        <x:v>7.6.1</x:v>
      </x:c>
      <x:c r="F43" s="21" t="str">
        <x:v>Read: necessity proof. Mark which direction uses tail equivalence and which uses convergence criterion.</x:v>
      </x:c>
      <x:c r="G43" s="21" t="str"/>
      <x:c r="H43" s="21" t="str"/>
      <x:c r="I43" s="21" t="str">
        <x:v>7.6 read</x:v>
      </x:c>
      <x:c r="J43" s="21" t="str"/>
      <x:c r="K43" s="22" t="str"/>
      <x:c r="L43" s="22" t="str"/>
      <x:c r="M43" s="22" t="str"/>
      <x:c r="N43" s="21" t="str"/>
      <x:c r="O43" s="21" t="str"/>
      <x:c r="P43" s="22" t="str">
        <x:f>IF($M43="","",IF($N43="Totally ignorance",$M43+1,IF(OR($N43="Spark",$N43="Skeleton",$N43="Crack it"),$M43+2,"")))</x:f>
      </x:c>
      <x:c r="Q43" s="21" t="str"/>
      <x:c r="R43" s="21" t="str"/>
      <x:c r="S43" s="21" t="str"/>
    </x:row>
    <x:row r="44">
      <x:c r="A44" s="21" t="n">
        <x:v>43</x:v>
      </x:c>
      <x:c r="B44" s="22" t="n">
        <x:v>46219</x:v>
      </x:c>
      <x:c r="C44" s="21" t="str">
        <x:v>Exercise</x:v>
      </x:c>
      <x:c r="D44" s="21" t="str">
        <x:v>E. Three-series theorem</x:v>
      </x:c>
      <x:c r="E44" s="21" t="str">
        <x:v>7.6–7.6.1</x:v>
      </x:c>
      <x:c r="F44" s="21" t="str">
        <x:v>Do Exercise 6: gamma variables and a.s. convergence.</x:v>
      </x:c>
      <x:c r="G44" s="21" t="str">
        <x:v>7.6</x:v>
      </x:c>
      <x:c r="H44" s="21" t="str">
        <x:v>7.6 three-series theorem</x:v>
      </x:c>
      <x:c r="I44" s="21" t="str">
        <x:v>7.6–7.6.1 read or previous listed exercise attempted</x:v>
      </x:c>
      <x:c r="J44" s="21" t="str"/>
      <x:c r="K44" s="22" t="str"/>
      <x:c r="L44" s="22" t="str"/>
      <x:c r="M44" s="22" t="str"/>
      <x:c r="N44" s="21" t="str"/>
      <x:c r="O44" s="21" t="str"/>
      <x:c r="P44" s="22" t="str">
        <x:f>IF($M44="","",IF($N44="Totally ignorance",$M44+1,IF(OR($N44="Spark",$N44="Skeleton",$N44="Crack it"),$M44+2,"")))</x:f>
      </x:c>
      <x:c r="Q44" s="21" t="str"/>
      <x:c r="R44" s="21" t="str"/>
      <x:c r="S44" s="21" t="str"/>
    </x:row>
    <x:row r="45">
      <x:c r="A45" s="21" t="n">
        <x:v>44</x:v>
      </x:c>
      <x:c r="B45" s="22" t="n">
        <x:v>46220</x:v>
      </x:c>
      <x:c r="C45" s="21" t="str">
        <x:v>Exercise</x:v>
      </x:c>
      <x:c r="D45" s="21" t="str">
        <x:v>E. Three-series theorem</x:v>
      </x:c>
      <x:c r="E45" s="21" t="str">
        <x:v>7.6–7.6.1</x:v>
      </x:c>
      <x:c r="F45" s="21" t="str">
        <x:v>Do Exercise 11: symmetric iid harmonic series criterion.</x:v>
      </x:c>
      <x:c r="G45" s="21" t="str">
        <x:v>7.11</x:v>
      </x:c>
      <x:c r="H45" s="21" t="str">
        <x:v>7.6 three-series / SLLN contrast</x:v>
      </x:c>
      <x:c r="I45" s="21" t="str">
        <x:v>7.6–7.6.1 read or previous listed exercise attempted</x:v>
      </x:c>
      <x:c r="J45" s="21" t="str"/>
      <x:c r="K45" s="22" t="str"/>
      <x:c r="L45" s="22" t="str"/>
      <x:c r="M45" s="22" t="str"/>
      <x:c r="N45" s="21" t="str"/>
      <x:c r="O45" s="21" t="str"/>
      <x:c r="P45" s="22" t="str">
        <x:f>IF($M45="","",IF($N45="Totally ignorance",$M45+1,IF(OR($N45="Spark",$N45="Skeleton",$N45="Crack it"),$M45+2,"")))</x:f>
      </x:c>
      <x:c r="Q45" s="21" t="str"/>
      <x:c r="R45" s="21" t="str"/>
      <x:c r="S45" s="21" t="str"/>
    </x:row>
    <x:row r="46">
      <x:c r="A46" s="21" t="n">
        <x:v>45</x:v>
      </x:c>
      <x:c r="B46" s="22" t="n">
        <x:v>46221</x:v>
      </x:c>
      <x:c r="C46" s="21" t="str">
        <x:v>Exercise</x:v>
      </x:c>
      <x:c r="D46" s="21" t="str">
        <x:v>E. Three-series theorem</x:v>
      </x:c>
      <x:c r="E46" s="21" t="str">
        <x:v>7.6–7.6.1</x:v>
      </x:c>
      <x:c r="F46" s="21" t="str">
        <x:v>Do Exercise 13: exponential series conditions.</x:v>
      </x:c>
      <x:c r="G46" s="21" t="str">
        <x:v>7.13</x:v>
      </x:c>
      <x:c r="H46" s="21" t="str">
        <x:v>7.6 three-series theorem</x:v>
      </x:c>
      <x:c r="I46" s="21" t="str">
        <x:v>7.6–7.6.1 read or previous listed exercise attempted</x:v>
      </x:c>
      <x:c r="J46" s="21" t="str"/>
      <x:c r="K46" s="22" t="str"/>
      <x:c r="L46" s="22" t="str"/>
      <x:c r="M46" s="22" t="str"/>
      <x:c r="N46" s="21" t="str"/>
      <x:c r="O46" s="21" t="str"/>
      <x:c r="P46" s="22" t="str">
        <x:f>IF($M46="","",IF($N46="Totally ignorance",$M46+1,IF(OR($N46="Spark",$N46="Skeleton",$N46="Crack it"),$M46+2,"")))</x:f>
      </x:c>
      <x:c r="Q46" s="21" t="str"/>
      <x:c r="R46" s="21" t="str"/>
      <x:c r="S46" s="21" t="str"/>
    </x:row>
    <x:row r="47">
      <x:c r="A47" s="21" t="n">
        <x:v>46</x:v>
      </x:c>
      <x:c r="B47" s="22" t="n">
        <x:v>46222</x:v>
      </x:c>
      <x:c r="C47" s="21" t="str">
        <x:v>Exercise</x:v>
      </x:c>
      <x:c r="D47" s="21" t="str">
        <x:v>E. Three-series theorem</x:v>
      </x:c>
      <x:c r="E47" s="21" t="str">
        <x:v>7.6–7.6.1</x:v>
      </x:c>
      <x:c r="F47" s="21" t="str">
        <x:v>Do Exercise 14: normal series criterion.</x:v>
      </x:c>
      <x:c r="G47" s="21" t="str">
        <x:v>7.14</x:v>
      </x:c>
      <x:c r="H47" s="21" t="str">
        <x:v>7.6 three-series / normal moments</x:v>
      </x:c>
      <x:c r="I47" s="21" t="str">
        <x:v>7.6–7.6.1 read or previous listed exercise attempted</x:v>
      </x:c>
      <x:c r="J47" s="21" t="str"/>
      <x:c r="K47" s="22" t="str"/>
      <x:c r="L47" s="22" t="str"/>
      <x:c r="M47" s="22" t="str"/>
      <x:c r="N47" s="21" t="str"/>
      <x:c r="O47" s="21" t="str"/>
      <x:c r="P47" s="22" t="str">
        <x:f>IF($M47="","",IF($N47="Totally ignorance",$M47+1,IF(OR($N47="Spark",$N47="Skeleton",$N47="Crack it"),$M47+2,"")))</x:f>
      </x:c>
      <x:c r="Q47" s="21" t="str"/>
      <x:c r="R47" s="21" t="str"/>
      <x:c r="S47" s="21" t="str"/>
    </x:row>
    <x:row r="48">
      <x:c r="A48" s="21" t="n">
        <x:v>47</x:v>
      </x:c>
      <x:c r="B48" s="22" t="n">
        <x:v>46223</x:v>
      </x:c>
      <x:c r="C48" s="21" t="str">
        <x:v>Exercise</x:v>
      </x:c>
      <x:c r="D48" s="21" t="str">
        <x:v>E. Three-series theorem</x:v>
      </x:c>
      <x:c r="E48" s="21" t="str">
        <x:v>7.6–7.6.1</x:v>
      </x:c>
      <x:c r="F48" s="21" t="str">
        <x:v>Do Exercise 15: positive variables two-series reduction.</x:v>
      </x:c>
      <x:c r="G48" s="21" t="str">
        <x:v>7.15</x:v>
      </x:c>
      <x:c r="H48" s="21" t="str">
        <x:v>7.6 positive version</x:v>
      </x:c>
      <x:c r="I48" s="21" t="str">
        <x:v>7.6–7.6.1 read or previous listed exercise attempted</x:v>
      </x:c>
      <x:c r="J48" s="21" t="str"/>
      <x:c r="K48" s="22" t="str"/>
      <x:c r="L48" s="22" t="str"/>
      <x:c r="M48" s="22" t="str"/>
      <x:c r="N48" s="21" t="str"/>
      <x:c r="O48" s="21" t="str"/>
      <x:c r="P48" s="22" t="str">
        <x:f>IF($M48="","",IF($N48="Totally ignorance",$M48+1,IF(OR($N48="Spark",$N48="Skeleton",$N48="Crack it"),$M48+2,"")))</x:f>
      </x:c>
      <x:c r="Q48" s="21" t="str"/>
      <x:c r="R48" s="21" t="str"/>
      <x:c r="S48" s="21" t="str"/>
    </x:row>
    <x:row r="49">
      <x:c r="A49" s="21" t="n">
        <x:v>48</x:v>
      </x:c>
      <x:c r="B49" s="22" t="n">
        <x:v>46224</x:v>
      </x:c>
      <x:c r="C49" s="21" t="str">
        <x:v>Exercise</x:v>
      </x:c>
      <x:c r="D49" s="21" t="str">
        <x:v>E. Three-series theorem</x:v>
      </x:c>
      <x:c r="E49" s="21" t="str">
        <x:v>7.6–7.6.1</x:v>
      </x:c>
      <x:c r="F49" s="21" t="str">
        <x:v>Do Exercise 17: rare jumps and limiting partial sums.</x:v>
      </x:c>
      <x:c r="G49" s="21" t="str">
        <x:v>7.17</x:v>
      </x:c>
      <x:c r="H49" s="21" t="str">
        <x:v>7.6 three-series / Borel-Cantelli</x:v>
      </x:c>
      <x:c r="I49" s="21" t="str">
        <x:v>7.6–7.6.1 read or previous listed exercise attempted</x:v>
      </x:c>
      <x:c r="J49" s="21" t="str"/>
      <x:c r="K49" s="22" t="str"/>
      <x:c r="L49" s="22" t="str"/>
      <x:c r="M49" s="22" t="str"/>
      <x:c r="N49" s="21" t="str"/>
      <x:c r="O49" s="21" t="str"/>
      <x:c r="P49" s="22" t="str">
        <x:f>IF($M49="","",IF($N49="Totally ignorance",$M49+1,IF(OR($N49="Spark",$N49="Skeleton",$N49="Crack it"),$M49+2,"")))</x:f>
      </x:c>
      <x:c r="Q49" s="21" t="str"/>
      <x:c r="R49" s="21" t="str"/>
      <x:c r="S49" s="21" t="str"/>
    </x:row>
    <x:row r="50">
      <x:c r="A50" s="21" t="n">
        <x:v>49</x:v>
      </x:c>
      <x:c r="B50" s="22" t="n">
        <x:v>46225</x:v>
      </x:c>
      <x:c r="C50" s="21" t="str">
        <x:v>Exercise</x:v>
      </x:c>
      <x:c r="D50" s="21" t="str">
        <x:v>E. Three-series theorem</x:v>
      </x:c>
      <x:c r="E50" s="21" t="str">
        <x:v>7.6–7.6.1</x:v>
      </x:c>
      <x:c r="F50" s="21" t="str">
        <x:v>Do Exercise 19: nonnegative series equivalent conditions.</x:v>
      </x:c>
      <x:c r="G50" s="21" t="str">
        <x:v>7.19</x:v>
      </x:c>
      <x:c r="H50" s="21" t="str">
        <x:v>7.6 positive series</x:v>
      </x:c>
      <x:c r="I50" s="21" t="str">
        <x:v>7.6–7.6.1 read or previous listed exercise attempted</x:v>
      </x:c>
      <x:c r="J50" s="21" t="str"/>
      <x:c r="K50" s="22" t="str"/>
      <x:c r="L50" s="22" t="str"/>
      <x:c r="M50" s="22" t="str"/>
      <x:c r="N50" s="21" t="str"/>
      <x:c r="O50" s="21" t="str"/>
      <x:c r="P50" s="22" t="str">
        <x:f>IF($M50="","",IF($N50="Totally ignorance",$M50+1,IF(OR($N50="Spark",$N50="Skeleton",$N50="Crack it"),$M50+2,"")))</x:f>
      </x:c>
      <x:c r="Q50" s="21" t="str"/>
      <x:c r="R50" s="21" t="str"/>
      <x:c r="S50" s="21" t="str"/>
    </x:row>
    <x:row r="51">
      <x:c r="A51" s="21" t="n">
        <x:v>50</x:v>
      </x:c>
      <x:c r="B51" s="22" t="n">
        <x:v>46226</x:v>
      </x:c>
      <x:c r="C51" s="21" t="str">
        <x:v>Exercise</x:v>
      </x:c>
      <x:c r="D51" s="21" t="str">
        <x:v>E. Three-series theorem</x:v>
      </x:c>
      <x:c r="E51" s="21" t="str">
        <x:v>7.6–7.6.1</x:v>
      </x:c>
      <x:c r="F51" s="21" t="str">
        <x:v>Do Exercise 20: sufficient condition for a.s. convergence.</x:v>
      </x:c>
      <x:c r="G51" s="21" t="str">
        <x:v>7.20</x:v>
      </x:c>
      <x:c r="H51" s="21" t="str">
        <x:v>7.6 three-series sufficient logic</x:v>
      </x:c>
      <x:c r="I51" s="21" t="str">
        <x:v>7.6–7.6.1 read or previous listed exercise attempted</x:v>
      </x:c>
      <x:c r="J51" s="21" t="str"/>
      <x:c r="K51" s="22" t="str"/>
      <x:c r="L51" s="22" t="str"/>
      <x:c r="M51" s="22" t="str"/>
      <x:c r="N51" s="21" t="str"/>
      <x:c r="O51" s="21" t="str"/>
      <x:c r="P51" s="22" t="str">
        <x:f>IF($M51="","",IF($N51="Totally ignorance",$M51+1,IF(OR($N51="Spark",$N51="Skeleton",$N51="Crack it"),$M51+2,"")))</x:f>
      </x:c>
      <x:c r="Q51" s="21" t="str"/>
      <x:c r="R51" s="21" t="str"/>
      <x:c r="S51" s="21" t="str"/>
    </x:row>
    <x:row r="52">
      <x:c r="A52" s="21" t="n">
        <x:v>51</x:v>
      </x:c>
      <x:c r="B52" s="22" t="n">
        <x:v>46227</x:v>
      </x:c>
      <x:c r="C52" s="21" t="str">
        <x:v>Exercise</x:v>
      </x:c>
      <x:c r="D52" s="21" t="str">
        <x:v>E. Three-series theorem</x:v>
      </x:c>
      <x:c r="E52" s="21" t="str">
        <x:v>7.6–7.6.1</x:v>
      </x:c>
      <x:c r="F52" s="21" t="str">
        <x:v>Do Exercise 26: St. Petersburg a.s. limsup failure.</x:v>
      </x:c>
      <x:c r="G52" s="21" t="str">
        <x:v>7.26</x:v>
      </x:c>
      <x:c r="H52" s="21" t="str">
        <x:v>7.6 / Borel-Cantelli</x:v>
      </x:c>
      <x:c r="I52" s="21" t="str">
        <x:v>7.6–7.6.1 read or previous listed exercise attempted</x:v>
      </x:c>
      <x:c r="J52" s="21" t="str"/>
      <x:c r="K52" s="22" t="str"/>
      <x:c r="L52" s="22" t="str"/>
      <x:c r="M52" s="22" t="str"/>
      <x:c r="N52" s="21" t="str"/>
      <x:c r="O52" s="21" t="str"/>
      <x:c r="P52" s="22" t="str">
        <x:f>IF($M52="","",IF($N52="Totally ignorance",$M52+1,IF(OR($N52="Spark",$N52="Skeleton",$N52="Crack it"),$M52+2,"")))</x:f>
      </x:c>
      <x:c r="Q52" s="21" t="str"/>
      <x:c r="R52" s="21" t="str"/>
      <x:c r="S52" s="21" t="str"/>
    </x:row>
    <x:row r="53">
      <x:c r="A53" s="21" t="n">
        <x:v>52</x:v>
      </x:c>
      <x:c r="B53" s="22" t="n">
        <x:v>46228</x:v>
      </x:c>
      <x:c r="C53" s="21" t="str">
        <x:v>Exercise</x:v>
      </x:c>
      <x:c r="D53" s="21" t="str">
        <x:v>E. Three-series theorem</x:v>
      </x:c>
      <x:c r="E53" s="21" t="str">
        <x:v>7.6–7.6.1</x:v>
      </x:c>
      <x:c r="F53" s="21" t="str">
        <x:v>Do Exercise 33: necessary and sufficient exponent condition.</x:v>
      </x:c>
      <x:c r="G53" s="21" t="str">
        <x:v>7.33</x:v>
      </x:c>
      <x:c r="H53" s="21" t="str">
        <x:v>7.6 three-series theorem</x:v>
      </x:c>
      <x:c r="I53" s="21" t="str">
        <x:v>7.6–7.6.1 read or previous listed exercise attempted</x:v>
      </x:c>
      <x:c r="J53" s="21" t="str"/>
      <x:c r="K53" s="22" t="str"/>
      <x:c r="L53" s="22" t="str"/>
      <x:c r="M53" s="22" t="str"/>
      <x:c r="N53" s="21" t="str"/>
      <x:c r="O53" s="21" t="str"/>
      <x:c r="P53" s="22" t="str">
        <x:f>IF($M53="","",IF($N53="Totally ignorance",$M53+1,IF(OR($N53="Spark",$N53="Skeleton",$N53="Crack it"),$M53+2,"")))</x:f>
      </x:c>
      <x:c r="Q53" s="21" t="str"/>
      <x:c r="R53" s="21" t="str"/>
      <x:c r="S53" s="21" t="str"/>
    </x:row>
    <x:row r="54">
      <x:c r="A54" s="21" t="n">
        <x:v>53</x:v>
      </x:c>
      <x:c r="B54" s="22" t="n">
        <x:v>46229</x:v>
      </x:c>
      <x:c r="C54" s="21" t="str">
        <x:v>Exercise</x:v>
      </x:c>
      <x:c r="D54" s="21" t="str">
        <x:v>E. Three-series theorem</x:v>
      </x:c>
      <x:c r="E54" s="21" t="str">
        <x:v>7.6–7.6.1</x:v>
      </x:c>
      <x:c r="F54" s="21" t="str">
        <x:v>Do Exercise 36: positive series and expectations under tail condition.</x:v>
      </x:c>
      <x:c r="G54" s="21" t="str">
        <x:v>7.36</x:v>
      </x:c>
      <x:c r="H54" s="21" t="str">
        <x:v>7.6 positive series</x:v>
      </x:c>
      <x:c r="I54" s="21" t="str">
        <x:v>7.6–7.6.1 read or previous listed exercise attempted</x:v>
      </x:c>
      <x:c r="J54" s="21" t="str"/>
      <x:c r="K54" s="22" t="str"/>
      <x:c r="L54" s="22" t="str"/>
      <x:c r="M54" s="22" t="str"/>
      <x:c r="N54" s="21" t="str"/>
      <x:c r="O54" s="21" t="str"/>
      <x:c r="P54" s="22" t="str">
        <x:f>IF($M54="","",IF($N54="Totally ignorance",$M54+1,IF(OR($N54="Spark",$N54="Skeleton",$N54="Crack it"),$M54+2,"")))</x:f>
      </x:c>
      <x:c r="Q54" s="21" t="str"/>
      <x:c r="R54" s="21" t="str"/>
      <x:c r="S54" s="21" t="str"/>
    </x:row>
    <x:row r="55">
      <x:c r="A55" s="21" t="n">
        <x:v>54</x:v>
      </x:c>
      <x:c r="B55" s="22" t="n">
        <x:v>46230</x:v>
      </x:c>
      <x:c r="C55" s="21" t="str">
        <x:v>Exercise</x:v>
      </x:c>
      <x:c r="D55" s="21" t="str">
        <x:v>E. Three-series theorem</x:v>
      </x:c>
      <x:c r="E55" s="21" t="str">
        <x:v>7.6–7.6.1</x:v>
      </x:c>
      <x:c r="F55" s="21" t="str">
        <x:v>Do Exercise 37: exponential series with only three-series theorem.</x:v>
      </x:c>
      <x:c r="G55" s="21" t="str">
        <x:v>7.37</x:v>
      </x:c>
      <x:c r="H55" s="21" t="str">
        <x:v>7.6 three-series theorem</x:v>
      </x:c>
      <x:c r="I55" s="21" t="str">
        <x:v>7.6–7.6.1 read or previous listed exercise attempted</x:v>
      </x:c>
      <x:c r="J55" s="21" t="str"/>
      <x:c r="K55" s="22" t="str"/>
      <x:c r="L55" s="22" t="str"/>
      <x:c r="M55" s="22" t="str"/>
      <x:c r="N55" s="21" t="str"/>
      <x:c r="O55" s="21" t="str"/>
      <x:c r="P55" s="22" t="str">
        <x:f>IF($M55="","",IF($N55="Totally ignorance",$M55+1,IF(OR($N55="Spark",$N55="Skeleton",$N55="Crack it"),$M55+2,"")))</x:f>
      </x:c>
      <x:c r="Q55" s="21" t="str"/>
      <x:c r="R55" s="21" t="str"/>
      <x:c r="S55" s="21" t="str"/>
    </x:row>
    <x:row r="56">
      <x:c r="A56" s="21" t="n">
        <x:v>55</x:v>
      </x:c>
      <x:c r="B56" s="22" t="n">
        <x:v>46231</x:v>
      </x:c>
      <x:c r="C56" s="21" t="str">
        <x:v>Gate</x:v>
      </x:c>
      <x:c r="D56" s="21" t="str">
        <x:v>E. Three-series theorem</x:v>
      </x:c>
      <x:c r="E56" s="21" t="str">
        <x:v>7.6–7.6.1</x:v>
      </x:c>
      <x:c r="F56" s="21" t="str">
        <x:v>Proceed gate: for every series problem, record the three series explicitly or say why a simpler criterion applies.</x:v>
      </x:c>
      <x:c r="G56" s="21" t="str"/>
      <x:c r="H56" s="21" t="str">
        <x:v>Gate before advanced WLLN extras</x:v>
      </x:c>
      <x:c r="I56" s="21" t="str">
        <x:v>Block E exercises attempted</x:v>
      </x:c>
      <x:c r="J56" s="21" t="str">
        <x:v>Proceed only if three-series checklist is reproducible</x:v>
      </x:c>
      <x:c r="K56" s="22" t="str"/>
      <x:c r="L56" s="22" t="str"/>
      <x:c r="M56" s="22" t="str"/>
      <x:c r="N56" s="21" t="str"/>
      <x:c r="O56" s="21" t="str"/>
      <x:c r="P56" s="22" t="str">
        <x:f>IF($M56="","",IF($N56="Totally ignorance",$M56+1,IF(OR($N56="Spark",$N56="Skeleton",$N56="Crack it"),$M56+2,"")))</x:f>
      </x:c>
      <x:c r="Q56" s="21" t="str"/>
      <x:c r="R56" s="21" t="str"/>
      <x:c r="S56" s="21" t="str"/>
    </x:row>
    <x:row r="57">
      <x:c r="A57" s="21" t="n">
        <x:v>56</x:v>
      </x:c>
      <x:c r="B57" s="22" t="n">
        <x:v>46232</x:v>
      </x:c>
      <x:c r="C57" s="21" t="str">
        <x:v>Read</x:v>
      </x:c>
      <x:c r="D57" s="21" t="str">
        <x:v>F. Advanced WLLN / heavy-tail extras</x:v>
      </x:c>
      <x:c r="E57" s="21" t="str">
        <x:v>7.2 + 7.6 review</x:v>
      </x:c>
      <x:c r="F57" s="21" t="str">
        <x:v>Review: relative stability, triangular arrays, St. Petersburg, coupon collecting. This is a consolidation block, not new theorem reading.</x:v>
      </x:c>
      <x:c r="G57" s="21" t="str"/>
      <x:c r="H57" s="21" t="str"/>
      <x:c r="I57" s="21" t="str">
        <x:v>Blocks A–E complete</x:v>
      </x:c>
      <x:c r="J57" s="21" t="str"/>
      <x:c r="K57" s="22" t="str"/>
      <x:c r="L57" s="22" t="str"/>
      <x:c r="M57" s="22" t="str"/>
      <x:c r="N57" s="21" t="str"/>
      <x:c r="O57" s="21" t="str"/>
      <x:c r="P57" s="22" t="str">
        <x:f>IF($M57="","",IF($N57="Totally ignorance",$M57+1,IF(OR($N57="Spark",$N57="Skeleton",$N57="Crack it"),$M57+2,"")))</x:f>
      </x:c>
      <x:c r="Q57" s="21" t="str"/>
      <x:c r="R57" s="21" t="str"/>
      <x:c r="S57" s="21" t="str"/>
    </x:row>
    <x:row r="58">
      <x:c r="A58" s="21" t="n">
        <x:v>57</x:v>
      </x:c>
      <x:c r="B58" s="22" t="n">
        <x:v>46233</x:v>
      </x:c>
      <x:c r="C58" s="21" t="str">
        <x:v>Exercise</x:v>
      </x:c>
      <x:c r="D58" s="21" t="str">
        <x:v>F. Advanced WLLN / heavy-tail extras</x:v>
      </x:c>
      <x:c r="E58" s="21" t="str">
        <x:v>7.2 / 7.6 / Ch8 bridge</x:v>
      </x:c>
      <x:c r="F58" s="21" t="str">
        <x:v>Do Exercise 24: relative stability of sums and St. Petersburg paradox.</x:v>
      </x:c>
      <x:c r="G58" s="21" t="str">
        <x:v>7.24</x:v>
      </x:c>
      <x:c r="H58" s="21" t="str">
        <x:v>Advanced 7.2 WLLN / slowly varying functions</x:v>
      </x:c>
      <x:c r="I58" s="21" t="str">
        <x:v>Main Chapter 7 machinery attempted</x:v>
      </x:c>
      <x:c r="J58" s="21" t="str"/>
      <x:c r="K58" s="22" t="str"/>
      <x:c r="L58" s="22" t="str"/>
      <x:c r="M58" s="22" t="str"/>
      <x:c r="N58" s="21" t="str"/>
      <x:c r="O58" s="21" t="str"/>
      <x:c r="P58" s="22" t="str">
        <x:f>IF($M58="","",IF($N58="Totally ignorance",$M58+1,IF(OR($N58="Spark",$N58="Skeleton",$N58="Crack it"),$M58+2,"")))</x:f>
      </x:c>
      <x:c r="Q58" s="21" t="str"/>
      <x:c r="R58" s="21" t="str"/>
      <x:c r="S58" s="21" t="str"/>
    </x:row>
    <x:row r="59">
      <x:c r="A59" s="21" t="n">
        <x:v>58</x:v>
      </x:c>
      <x:c r="B59" s="22" t="n">
        <x:v>46234</x:v>
      </x:c>
      <x:c r="C59" s="21" t="str">
        <x:v>Exercise</x:v>
      </x:c>
      <x:c r="D59" s="21" t="str">
        <x:v>F. Advanced WLLN / heavy-tail extras</x:v>
      </x:c>
      <x:c r="E59" s="21" t="str">
        <x:v>7.2 / 7.6 / Ch8 bridge</x:v>
      </x:c>
      <x:c r="F59" s="21" t="str">
        <x:v>Do Exercise 25: triangular-array version of Theorem 7.2.1.</x:v>
      </x:c>
      <x:c r="G59" s="21" t="str">
        <x:v>7.25</x:v>
      </x:c>
      <x:c r="H59" s="21" t="str">
        <x:v>Advanced 7.2 WLLN</x:v>
      </x:c>
      <x:c r="I59" s="21" t="str">
        <x:v>Main Chapter 7 machinery attempted</x:v>
      </x:c>
      <x:c r="J59" s="21" t="str"/>
      <x:c r="K59" s="22" t="str"/>
      <x:c r="L59" s="22" t="str"/>
      <x:c r="M59" s="22" t="str"/>
      <x:c r="N59" s="21" t="str"/>
      <x:c r="O59" s="21" t="str"/>
      <x:c r="P59" s="22" t="str">
        <x:f>IF($M59="","",IF($N59="Totally ignorance",$M59+1,IF(OR($N59="Spark",$N59="Skeleton",$N59="Crack it"),$M59+2,"")))</x:f>
      </x:c>
      <x:c r="Q59" s="21" t="str"/>
      <x:c r="R59" s="21" t="str"/>
      <x:c r="S59" s="21" t="str"/>
    </x:row>
    <x:row r="60">
      <x:c r="A60" s="21" t="n">
        <x:v>59</x:v>
      </x:c>
      <x:c r="B60" s="22" t="n">
        <x:v>46235</x:v>
      </x:c>
      <x:c r="C60" s="21" t="str">
        <x:v>Exercise</x:v>
      </x:c>
      <x:c r="D60" s="21" t="str">
        <x:v>F. Advanced WLLN / heavy-tail extras</x:v>
      </x:c>
      <x:c r="E60" s="21" t="str">
        <x:v>7.2 / 7.6 / Ch8 bridge</x:v>
      </x:c>
      <x:c r="F60" s="21" t="str">
        <x:v>Do Exercise 29: heavy-tailed normalized lower limit.</x:v>
      </x:c>
      <x:c r="G60" s="21" t="str">
        <x:v>7.29</x:v>
      </x:c>
      <x:c r="H60" s="21" t="str">
        <x:v>Advanced WLLN / truncation</x:v>
      </x:c>
      <x:c r="I60" s="21" t="str">
        <x:v>Main Chapter 7 machinery attempted</x:v>
      </x:c>
      <x:c r="J60" s="21" t="str"/>
      <x:c r="K60" s="22" t="str"/>
      <x:c r="L60" s="22" t="str"/>
      <x:c r="M60" s="22" t="str"/>
      <x:c r="N60" s="21" t="str"/>
      <x:c r="O60" s="21" t="str"/>
      <x:c r="P60" s="22" t="str">
        <x:f>IF($M60="","",IF($N60="Totally ignorance",$M60+1,IF(OR($N60="Spark",$N60="Skeleton",$N60="Crack it"),$M60+2,"")))</x:f>
      </x:c>
      <x:c r="Q60" s="21" t="str"/>
      <x:c r="R60" s="21" t="str"/>
      <x:c r="S60" s="21" t="str"/>
    </x:row>
    <x:row r="61">
      <x:c r="A61" s="21" t="n">
        <x:v>60</x:v>
      </x:c>
      <x:c r="B61" s="22" t="n">
        <x:v>46236</x:v>
      </x:c>
      <x:c r="C61" s="21" t="str">
        <x:v>Exercise</x:v>
      </x:c>
      <x:c r="D61" s="21" t="str">
        <x:v>F. Advanced WLLN / heavy-tail extras</x:v>
      </x:c>
      <x:c r="E61" s="21" t="str">
        <x:v>7.2 / 7.6 / Ch8 bridge</x:v>
      </x:c>
      <x:c r="F61" s="21" t="str">
        <x:v>Do Exercise 30: classical coupon collecting.</x:v>
      </x:c>
      <x:c r="G61" s="21" t="str">
        <x:v>7.30</x:v>
      </x:c>
      <x:c r="H61" s="21" t="str">
        <x:v>WLLN with geometric variables</x:v>
      </x:c>
      <x:c r="I61" s="21" t="str">
        <x:v>Main Chapter 7 machinery attempted</x:v>
      </x:c>
      <x:c r="J61" s="21" t="str"/>
      <x:c r="K61" s="22" t="str"/>
      <x:c r="L61" s="22" t="str"/>
      <x:c r="M61" s="22" t="str"/>
      <x:c r="N61" s="21" t="str"/>
      <x:c r="O61" s="21" t="str"/>
      <x:c r="P61" s="22" t="str">
        <x:f>IF($M61="","",IF($N61="Totally ignorance",$M61+1,IF(OR($N61="Spark",$N61="Skeleton",$N61="Crack it"),$M61+2,"")))</x:f>
      </x:c>
      <x:c r="Q61" s="21" t="str"/>
      <x:c r="R61" s="21" t="str"/>
      <x:c r="S61" s="21" t="str"/>
    </x:row>
    <x:row r="62">
      <x:c r="A62" s="21" t="n">
        <x:v>61</x:v>
      </x:c>
      <x:c r="B62" s="22" t="n">
        <x:v>46237</x:v>
      </x:c>
      <x:c r="C62" s="21" t="str">
        <x:v>Exercise</x:v>
      </x:c>
      <x:c r="D62" s="21" t="str">
        <x:v>F. Advanced WLLN / heavy-tail extras</x:v>
      </x:c>
      <x:c r="E62" s="21" t="str">
        <x:v>7.2 / 7.6 / Ch8 bridge</x:v>
      </x:c>
      <x:c r="F62" s="21" t="str">
        <x:v>Do Exercise 46: Cauchy sums; mark as bridge to Chapter 8 if needed.</x:v>
      </x:c>
      <x:c r="G62" s="21" t="str">
        <x:v>7.46</x:v>
      </x:c>
      <x:c r="H62" s="21" t="str">
        <x:v>Chapter 7 + Chapter 8 bridge</x:v>
      </x:c>
      <x:c r="I62" s="21" t="str">
        <x:v>Main Chapter 7 machinery attempted</x:v>
      </x:c>
      <x:c r="J62" s="21" t="str"/>
      <x:c r="K62" s="22" t="str"/>
      <x:c r="L62" s="22" t="str"/>
      <x:c r="M62" s="22" t="str"/>
      <x:c r="N62" s="21" t="str"/>
      <x:c r="O62" s="21" t="str"/>
      <x:c r="P62" s="22" t="str">
        <x:f>IF($M62="","",IF($N62="Totally ignorance",$M62+1,IF(OR($N62="Spark",$N62="Skeleton",$N62="Crack it"),$M62+2,"")))</x:f>
      </x:c>
      <x:c r="Q62" s="21" t="str"/>
      <x:c r="R62" s="21" t="str"/>
      <x:c r="S62" s="21" t="str"/>
    </x:row>
    <x:row r="63">
      <x:c r="A63" s="21" t="n">
        <x:v>62</x:v>
      </x:c>
      <x:c r="B63" s="22" t="n">
        <x:v>46238</x:v>
      </x:c>
      <x:c r="C63" s="21" t="str">
        <x:v>Summary</x:v>
      </x:c>
      <x:c r="D63" s="21" t="str">
        <x:v>G. Chapter summary</x:v>
      </x:c>
      <x:c r="E63" s="21" t="str">
        <x:v>Chapter 7</x:v>
      </x:c>
      <x:c r="F63" s="21" t="str">
        <x:v>Write final Chapter 7 summary: definitions, main results, proof ideas, technical tricks, pitfalls, links to Chapter 6 and Chapter 8.</x:v>
      </x:c>
      <x:c r="G63" s="21" t="str"/>
      <x:c r="H63" s="21" t="str"/>
      <x:c r="I63" s="21" t="str">
        <x:v>All exercise first attempts completed</x:v>
      </x:c>
      <x:c r="J63" s="21" t="str"/>
      <x:c r="K63" s="22" t="str"/>
      <x:c r="L63" s="22" t="str"/>
      <x:c r="M63" s="22" t="str"/>
      <x:c r="N63" s="21" t="str"/>
      <x:c r="O63" s="21" t="str"/>
      <x:c r="P63" s="22" t="str">
        <x:f>IF($M63="","",IF($N63="Totally ignorance",$M63+1,IF(OR($N63="Spark",$N63="Skeleton",$N63="Crack it"),$M63+2,"")))</x:f>
      </x:c>
      <x:c r="Q63" s="21" t="str"/>
      <x:c r="R63" s="21" t="str"/>
      <x:c r="S63" s="21" t="str"/>
    </x:row>
    <x:row r="64">
      <x:c r="A64" s="21" t="n">
        <x:v>63</x:v>
      </x:c>
      <x:c r="B64" s="22" t="n">
        <x:v>46239</x:v>
      </x:c>
      <x:c r="C64" s="21" t="str">
        <x:v>Summary</x:v>
      </x:c>
      <x:c r="D64" s="21" t="str">
        <x:v>G. Chapter summary</x:v>
      </x:c>
      <x:c r="E64" s="21" t="str">
        <x:v>Chapter 7</x:v>
      </x:c>
      <x:c r="F64" s="21" t="str">
        <x:v>Final redo sweep: sort Master Schedule by Suggested Redo Date and complete unresolved Totally ignorance / Spark / Skeleton rows.</x:v>
      </x:c>
      <x:c r="G64" s="21" t="str"/>
      <x:c r="H64" s="21" t="str"/>
      <x:c r="I64" s="21" t="str">
        <x:v>Chapter summary drafted</x:v>
      </x:c>
      <x:c r="J64" s="21" t="str"/>
      <x:c r="K64" s="22" t="str"/>
      <x:c r="L64" s="22" t="str"/>
      <x:c r="M64" s="22" t="str"/>
      <x:c r="N64" s="21" t="str"/>
      <x:c r="O64" s="21" t="str"/>
      <x:c r="P64" s="22" t="str">
        <x:f>IF($M64="","",IF($N64="Totally ignorance",$M64+1,IF(OR($N64="Spark",$N64="Skeleton",$N64="Crack it"),$M64+2,"")))</x:f>
      </x:c>
      <x:c r="Q64" s="21" t="str"/>
      <x:c r="R64" s="21" t="str"/>
      <x:c r="S64" s="21" t="str"/>
    </x:row>
  </x:sheetData>
  <x:conditionalFormatting sqref="C2:C64">
    <x:cfRule type="expression" dxfId="0" priority="1">
      <x:formula>$C2="Read"</x:formula>
    </x:cfRule>
    <x:cfRule type="expression" dxfId="1" priority="2">
      <x:formula>$C2="Exercise"</x:formula>
    </x:cfRule>
    <x:cfRule type="expression" dxfId="2" priority="3">
      <x:formula>$C2="Gate"</x:formula>
    </x:cfRule>
  </x:conditionalFormatting>
  <x:conditionalFormatting sqref="N2:N64">
    <x:cfRule type="expression" dxfId="3" priority="4">
      <x:formula>$N2="Totally ignorance"</x:formula>
    </x:cfRule>
    <x:cfRule type="expression" dxfId="4" priority="5">
      <x:formula>$N2="Spark"</x:formula>
    </x:cfRule>
    <x:cfRule type="expression" dxfId="5" priority="6">
      <x:formula>$N2="Skeleton"</x:formula>
    </x:cfRule>
    <x:cfRule type="expression" dxfId="6" priority="7">
      <x:formula>$N2="Crack it"</x:formula>
    </x:cfRule>
  </x:conditionalFormatting>
  <x:dataValidations count="3">
    <x:dataValidation type="list" sqref="N2:N64">
      <x:formula1>"Totally ignorance,Spark,Skeleton,Crack it"</x:formula1>
    </x:dataValidation>
    <x:dataValidation type="list" sqref="R2:R64">
      <x:formula1>"Yes,No,Partial"</x:formula1>
    </x:dataValidation>
    <x:dataValidation type="list" sqref="C2:C64">
      <x:formula1>"Read,Exercise,Gate,Summary"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2a4242dfa44f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8" hidden="0" customWidth="1"/>
  </x:cols>
  <x:sheetData>
    <x:row r="1" ht="24" customHeight="1">
      <x:c r="A1" s="26" t="str">
        <x:v>Resnick Chapter 7 Ordered Study Schedule</x:v>
      </x:c>
      <x:c r="B1" s="26" t="str"/>
    </x:row>
    <x:row r="2">
      <x:c r="A2" s="15" t="str">
        <x:v>Core rule</x:v>
      </x:c>
      <x:c r="B2" s="15" t="str">
        <x:v>Read the section block first; then do the related exercises; then pass the proceed gate before the next block.</x:v>
      </x:c>
    </x:row>
    <x:row r="3">
      <x:c r="A3" s="15" t="str">
        <x:v>Start date</x:v>
      </x:c>
      <x:c r="B3" s="16" t="n">
        <x:v>46177</x:v>
      </x:c>
    </x:row>
    <x:row r="4">
      <x:c r="A4" s="15" t="str">
        <x:v>Total rows in Master Schedule</x:v>
      </x:c>
      <x:c r="B4" s="15" t="n">
        <x:v>63</x:v>
      </x:c>
    </x:row>
    <x:row r="5">
      <x:c r="A5" s="15" t="str">
        <x:v>Total exercises scheduled</x:v>
      </x:c>
      <x:c r="B5" s="15" t="n">
        <x:v>46</x:v>
      </x:c>
    </x:row>
    <x:row r="6">
      <x:c r="A6" s="15" t="str">
        <x:v>Source</x:v>
      </x:c>
      <x:c r="B6" s="15" t="str">
        <x:v>A Probability Path, Chapter 7: Laws of Large Numbers and Sums of Independent Random Variables</x:v>
      </x:c>
    </x:row>
    <x:row r="7">
      <x:c r="A7" s="15" t="str">
        <x:v>Source URL</x:v>
      </x:c>
      <x:c r="B7" s="15" t="str">
        <x:v>https://doi.org/10.1007/978-0-8176-8409-9_7</x:v>
      </x:c>
    </x:row>
    <x:row r="8">
      <x:c r="A8" s="15" t="str"/>
      <x:c r="B8" s="15" t="str"/>
    </x:row>
    <x:row r="9">
      <x:c r="A9" s="14" t="str">
        <x:v>Status summary</x:v>
      </x:c>
      <x:c r="B9" s="14" t="str">
        <x:v>Formula</x:v>
      </x:c>
    </x:row>
    <x:row r="10">
      <x:c r="A10" s="28" t="str">
        <x:v>Totally ignorance</x:v>
      </x:c>
      <x:c r="B10" s="28" t="n">
        <x:f>COUNTIF('Master Schedule'!$N:$N,"Totally ignorance")</x:f>
        <x:v>0</x:v>
      </x:c>
    </x:row>
    <x:row r="11">
      <x:c r="A11" s="28" t="str">
        <x:v>Spark</x:v>
      </x:c>
      <x:c r="B11" s="28" t="n">
        <x:f>COUNTIF('Master Schedule'!$N:$N,"Spark")</x:f>
        <x:v>0</x:v>
      </x:c>
    </x:row>
    <x:row r="12">
      <x:c r="A12" s="28" t="str">
        <x:v>Skeleton</x:v>
      </x:c>
      <x:c r="B12" s="28" t="n">
        <x:f>COUNTIF('Master Schedule'!$N:$N,"Skeleton")</x:f>
        <x:v>0</x:v>
      </x:c>
    </x:row>
    <x:row r="13">
      <x:c r="A13" s="28" t="str">
        <x:v>Crack it</x:v>
      </x:c>
      <x:c r="B13" s="28" t="n">
        <x:f>COUNTIF('Master Schedule'!$N:$N,"Crack it")</x:f>
        <x:v>0</x:v>
      </x:c>
    </x:row>
    <x:row r="14">
      <x:c r="A14" s="28" t="str">
        <x:v>Done</x:v>
      </x:c>
      <x:c r="B14" s="28" t="n">
        <x:f>COUNTIF('Master Schedule'!$R:$R,"Yes")</x:f>
        <x:v>0</x:v>
      </x:c>
    </x:row>
    <x:row r="15">
      <x:c r="A15" s="28" t="str">
        <x:v>Not done / unresolved</x:v>
      </x:c>
      <x:c r="B15" s="28" t="n">
        <x:f>COUNTIF('Master Schedule'!$R:$R,"No")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76" hidden="0" customWidth="1"/>
  </x:cols>
  <x:sheetData>
    <x:row r="1">
      <x:c r="A1" s="14" t="str">
        <x:v>First-pass Status</x:v>
      </x:c>
      <x:c r="B1" s="14" t="str">
        <x:v>Meaning</x:v>
      </x:c>
      <x:c r="C1" s="14" t="str">
        <x:v>Suggested Redo Rule</x:v>
      </x:c>
    </x:row>
    <x:row r="2">
      <x:c r="A2" s="15" t="str">
        <x:v>Totally ignorance</x:v>
      </x:c>
      <x:c r="B2" s="15" t="str">
        <x:v>Cannot write meaningful structure.</x:v>
      </x:c>
      <x:c r="C2" s="15" t="str">
        <x:v>Redo next day after rereading the exact theorem/definition; ask for minimum hint only if still blank.</x:v>
      </x:c>
    </x:row>
    <x:row r="3">
      <x:c r="A3" s="15" t="str">
        <x:v>Spark</x:v>
      </x:c>
      <x:c r="B3" s="15" t="str">
        <x:v>Blur picture exists, but needs ignition.</x:v>
      </x:c>
      <x:c r="C3" s="15" t="str">
        <x:v>Redo day after tomorrow, using one minimum hint if needed.</x:v>
      </x:c>
    </x:row>
    <x:row r="4">
      <x:c r="A4" s="15" t="str">
        <x:v>Skeleton</x:v>
      </x:c>
      <x:c r="B4" s="15" t="str">
        <x:v>Direction is right, but one key logical connection is missing.</x:v>
      </x:c>
      <x:c r="C4" s="15" t="str">
        <x:v>Redo day after tomorrow; focus only on the missing bridge.</x:v>
      </x:c>
    </x:row>
    <x:row r="5">
      <x:c r="A5" s="15" t="str">
        <x:v>Crack it</x:v>
      </x:c>
      <x:c r="B5" s="15" t="str">
        <x:v>Logic basically correct.</x:v>
      </x:c>
      <x:c r="C5" s="15" t="str">
        <x:v>C1 day after tomorrow; no full redo unless proof was messy.</x:v>
      </x:c>
    </x:row>
    <x:row r="6">
      <x:c r="A6" s="15" t="str">
        <x:v>Proceed Gate</x:v>
      </x:c>
      <x:c r="B6" s="15" t="str">
        <x:v>Block transition checkpoint.</x:v>
      </x:c>
      <x:c r="C6" s="15" t="str">
        <x:v>Do not start the next reading block until the previous reading + related exercise first attempts are complete.</x:v>
      </x:c>
    </x:row>
  </x:sheetData>
  <x:pageMargins left="0.7" right="0.7" top="0.75" bottom="0.75" header="0.3" footer="0.3"/>
</x:worksheet>
</file>