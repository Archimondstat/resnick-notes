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935" windowHeight="7935"/>
  </bookViews>
  <sheets>
    <sheet name="Master Schedule" sheetId="1" r:id="rId1"/>
    <sheet name="Dashboard" sheetId="2" r:id="rId2"/>
    <sheet name="Redo Rules" sheetId="3" r:id="rId3"/>
    <sheet name="Exercise Map" sheetId="4" r:id="rId4"/>
    <sheet name="Section Plan" sheetId="5" r:id="rId5"/>
  </sheets>
  <calcPr calcId="144525"/>
</workbook>
</file>

<file path=xl/sharedStrings.xml><?xml version="1.0" encoding="utf-8"?>
<sst xmlns="http://schemas.openxmlformats.org/spreadsheetml/2006/main" count="717" uniqueCount="481">
  <si>
    <t>Order</t>
  </si>
  <si>
    <t>Planned Date</t>
  </si>
  <si>
    <t>Section</t>
  </si>
  <si>
    <t>Reading / Theory Task</t>
  </si>
  <si>
    <t>Proof Tell-Back Goal</t>
  </si>
  <si>
    <t>New Exercise</t>
  </si>
  <si>
    <t>Exercise Role</t>
  </si>
  <si>
    <t>Required Material</t>
  </si>
  <si>
    <t>Exit Check / Planning Note</t>
  </si>
  <si>
    <t>Actual Reading Date</t>
  </si>
  <si>
    <t>Actual Proof Date</t>
  </si>
  <si>
    <t>Actual Exercise Date</t>
  </si>
  <si>
    <t>Initial Grade</t>
  </si>
  <si>
    <t>Key Blocker</t>
  </si>
  <si>
    <t>Repair Passed?</t>
  </si>
  <si>
    <t>Suggested Redo Date (auto)</t>
  </si>
  <si>
    <t>Actual Redo Date</t>
  </si>
  <si>
    <t>Redo Result</t>
  </si>
  <si>
    <t>RMarkdown</t>
  </si>
  <si>
    <t>Notes</t>
  </si>
  <si>
    <t>8.1 carry-in</t>
  </si>
  <si>
    <t>Ex 2</t>
  </si>
  <si>
    <t>Local / completed</t>
  </si>
  <si>
    <t>8.1 + Chapter 6 convergence notions</t>
  </si>
  <si>
    <t>Already repaired and passed before this rebuilt plan. Keep the original first-attempt grade fixed; use this row for the spaced redo record.</t>
  </si>
  <si>
    <t>Skeleton</t>
  </si>
  <si>
    <t>Fill the actual exercise date/grade from your own record if you want the redo formula to activate.</t>
  </si>
  <si>
    <t>8.2</t>
  </si>
  <si>
    <t>Read Section 8.2 through Scheffe's lemma. Separate pointwise density convergence, L1 convergence, total variation, and weak convergence. Notice the counting-measure remark.</t>
  </si>
  <si>
    <t>Tell what Scheffe's proof is doing: where the sign split comes from, why the positive/negative parts balance, and why this yields the L1/total-variation conclusion.</t>
  </si>
  <si>
    <t>8.1 learned</t>
  </si>
  <si>
    <t>Immediate next action from the current position.</t>
  </si>
  <si>
    <t>Ex 4</t>
  </si>
  <si>
    <t>Section-local / core</t>
  </si>
  <si>
    <t>Read 8.2 and be able to explain Scheffe; part (b) explicitly uses it.</t>
  </si>
  <si>
    <t>Resume the exercise that was paused because the prerequisite was missing. The pause is not a failed attempt.</t>
  </si>
  <si>
    <t>Protected multi-part exercise: if it needs &gt;1 day, continue it and shift later dates.</t>
  </si>
  <si>
    <t>Ex 12</t>
  </si>
  <si>
    <t>8.2 Scheffe</t>
  </si>
  <si>
    <t>Section check: explain why weak convergence does not force density convergence.</t>
  </si>
  <si>
    <t>Crack it</t>
  </si>
  <si>
    <t>8.1 carryover</t>
  </si>
  <si>
    <t>Ex 18</t>
  </si>
  <si>
    <t>8.1</t>
  </si>
  <si>
    <t>Catch up the remaining 8.1 local exercises after resolving the Ex 4 prerequisite issue.</t>
  </si>
  <si>
    <t>Ex 20</t>
  </si>
  <si>
    <t>Section-local application / core</t>
  </si>
  <si>
    <t>Direct scaling/cdf practice.</t>
  </si>
  <si>
    <t>Ex 21</t>
  </si>
  <si>
    <t>Nontrivial cdf scaling application.</t>
  </si>
  <si>
    <t>Ex 32</t>
  </si>
  <si>
    <t>8.1 continuity-point definition</t>
  </si>
  <si>
    <t>8.1 exit check: explain continuity-point convergence when the limit df has jumps.</t>
  </si>
  <si>
    <t>8.2.1</t>
  </si>
  <si>
    <t>Read the order-statistics application of Scheffe. Track the order-statistic density, normalization, Stirling step, and where Scheffe finishes the argument.</t>
  </si>
  <si>
    <t>Architecture only: density -&gt; normalization -&gt; pointwise density limit -&gt; Scheffe -&gt; weak limit. Mark the later 8.7 normalization reference and move on.</t>
  </si>
  <si>
    <t>8.2 passed</t>
  </si>
  <si>
    <t>Do not reconstruct every Stirling/bookkeeping line unless it blocks the architecture.</t>
  </si>
  <si>
    <t>Ex 8</t>
  </si>
  <si>
    <t>8.2.1; Renyi spacings from Chapter 4 only if using the second route.</t>
  </si>
  <si>
    <t>Compare direct and spacing routes only if the second adds insight.</t>
  </si>
  <si>
    <t>Ex 22</t>
  </si>
  <si>
    <t>8.2.1 + Scheffe</t>
  </si>
  <si>
    <t>Section exit: identify the common density-&gt;Scheffe pattern in Ex 8/22.</t>
  </si>
  <si>
    <t>8.3</t>
  </si>
  <si>
    <t>Read the quantile lemma and Baby Skorohod theorem. Keep the distinction between matching laws and preserving the original dependence.</t>
  </si>
  <si>
    <t>Tell the chain: quantile convergence -&gt; construct X_n^# with the same marginal laws -&gt; almost-sure convergence on a new space.</t>
  </si>
  <si>
    <t>8.2.1 passed</t>
  </si>
  <si>
    <t>Focus on why the constructed probability space is useful.</t>
  </si>
  <si>
    <t>Read the Continuous Mapping Theorem and its discontinuity-set condition.</t>
  </si>
  <si>
    <t>Tell what the proof is doing: use the Skorohod coupling, apply ordinary continuity almost surely away from Disc(h), then return to weak convergence.</t>
  </si>
  <si>
    <t>Baby Skorohod understood</t>
  </si>
  <si>
    <t>Ex 19</t>
  </si>
  <si>
    <t>8.3 Continuous Mapping Theorem</t>
  </si>
  <si>
    <t>8.3 exit: distinguish a mapping theorem on the original variables from a coupling proof on the constructed space.</t>
  </si>
  <si>
    <t>8.3.1</t>
  </si>
  <si>
    <t>Read the Delta Method. Separate the theorem statement from the first-order Taylor expansion that drives the proof.</t>
  </si>
  <si>
    <t>Tell the proof as linearization + negligible remainder + transfer of the existing weak limit. Identify the role of g'(theta).</t>
  </si>
  <si>
    <t>8.3 passed</t>
  </si>
  <si>
    <t>Ex 1</t>
  </si>
  <si>
    <t>8.3.1 + assumed CLT</t>
  </si>
  <si>
    <t>Statistical estimator/pivot application.</t>
  </si>
  <si>
    <t>Ex 7</t>
  </si>
  <si>
    <t>Before calculating, identify derivative and scaling.</t>
  </si>
  <si>
    <t>8.4</t>
  </si>
  <si>
    <t>Read the Portmanteau theorem. First map the equivalent formulations: cdf at continuity points, bounded continuous test functions, and continuity sets.</t>
  </si>
  <si>
    <t>Tell what each implication is doing. Concentrate reconstruction effort on the nontrivial converse/indicator-approximation step rather than reciting every line.</t>
  </si>
  <si>
    <t>8.3.1 local exercises done</t>
  </si>
  <si>
    <t>Portmanteau is a chapter backbone; architecture matters more than verbatim proof reproduction.</t>
  </si>
  <si>
    <t>Ex 33</t>
  </si>
  <si>
    <t>Supporting / core</t>
  </si>
  <si>
    <t>Basic properties of continuous dfs</t>
  </si>
  <si>
    <t>Quick supporting exercise before Ex 5; it supplies uniform continuity of a continuous df.</t>
  </si>
  <si>
    <t>Ex 5</t>
  </si>
  <si>
    <t>Cumulative / core</t>
  </si>
  <si>
    <t>8.1 + 8.4; Ex 33 useful</t>
  </si>
  <si>
    <t>Strengthen pointwise/weak cdf convergence to uniform convergence when the limit is continuous.</t>
  </si>
  <si>
    <t>Ex 9</t>
  </si>
  <si>
    <t>8.4 Portmanteau</t>
  </si>
  <si>
    <t>Alternative test-function class.</t>
  </si>
  <si>
    <t>Ex 36</t>
  </si>
  <si>
    <t>Cumulative synthesis / core</t>
  </si>
  <si>
    <t>8.4; Scheffe from 8.2 is an optional route</t>
  </si>
  <si>
    <t>Section exit: deliberately choose between direct weak-convergence and Scheffe routes.</t>
  </si>
  <si>
    <t>8.5</t>
  </si>
  <si>
    <t>Read the relations among modes of convergence and the special constant-limit converse.</t>
  </si>
  <si>
    <t>Tell the convergence map in words: what each arrow means, why converses fail in general, and why a constant limit is special.</t>
  </si>
  <si>
    <t>8.4 passed</t>
  </si>
  <si>
    <t>Ex 10</t>
  </si>
  <si>
    <t>8.1 + Chapter 6; placed here for the convergence-map interpretation.</t>
  </si>
  <si>
    <t>Use it as a counterexample that fixes the weak-vs-probability distinction.</t>
  </si>
  <si>
    <t>Ex 31</t>
  </si>
  <si>
    <t>Baby Skorohod (8.3) + Chapter 6 uniform integrability</t>
  </si>
  <si>
    <t>8.5 exit: weak convergence alone is not moment convergence; identify the extra uniform-integrability control.</t>
  </si>
  <si>
    <t>8.6</t>
  </si>
  <si>
    <t>Read Slutsky and the Second Converging Together Theorem. Identify the common approximation principle.</t>
  </si>
  <si>
    <t>Tell Slutsky as 'small perturbations do not change the weak limit.' Tell converging together as approximation -&gt; approximate limit -&gt; small error -&gt; target limit.</t>
  </si>
  <si>
    <t>8.5 passed</t>
  </si>
  <si>
    <t>Ex 14</t>
  </si>
  <si>
    <t>8.6 + Chapter 7 SLLN</t>
  </si>
  <si>
    <t>Normalize the sphere coordinate via a normal representation and Slutsky-type reasoning.</t>
  </si>
  <si>
    <t>Ex 23</t>
  </si>
  <si>
    <t>8.3.1 Delta Method + assumed CLT + 8.6 Slutsky/converging-together perspective</t>
  </si>
  <si>
    <t>Protected deep exercise. Treat the five parts as one exercise; if it needs extra days, shift later dates rather than opening another new exercise.</t>
  </si>
  <si>
    <t>8.6.1</t>
  </si>
  <si>
    <t>Read the m-dependent CLT application.</t>
  </si>
  <si>
    <t>Architecture only: variance asymptotics -&gt; big/small blocks -&gt; independent approximation -&gt; negligible remainder -&gt; converging together.</t>
  </si>
  <si>
    <t>8.6 understood</t>
  </si>
  <si>
    <t>No new exercise is forced here; the application proof itself is the practice.</t>
  </si>
  <si>
    <t>8.6–8.6.1</t>
  </si>
  <si>
    <t>Section gate: explain what the approximating object is and where the error term is controlled in the m-dependent CLT.</t>
  </si>
  <si>
    <t>8.6.1 read</t>
  </si>
  <si>
    <t>Architecture gate; technical bookkeeping can remain a redo note.</t>
  </si>
  <si>
    <t>8.7</t>
  </si>
  <si>
    <t>Read the Convergence to Types theorem.</t>
  </si>
  <si>
    <t>Tell the proof architecture. Focus on the quantile argument that identifies scale and centering constants; do not turn it into a line-by-line recitation contest.</t>
  </si>
  <si>
    <t>8.6 gate passed</t>
  </si>
  <si>
    <t>After this, revisit the forward-reference line marked in 8.2.1.</t>
  </si>
  <si>
    <t>Ex 6</t>
  </si>
  <si>
    <t>Theorem-support / core</t>
  </si>
  <si>
    <t>Affine uniqueness lemma that supports the type theorem.</t>
  </si>
  <si>
    <t>Ex 26</t>
  </si>
  <si>
    <t>8.7 Convergence to Types</t>
  </si>
  <si>
    <t>8.7 exit: explain why symmetrization removes centering and where the type theorem enters.</t>
  </si>
  <si>
    <t>8.7.1</t>
  </si>
  <si>
    <t>Read the extreme-value application and the route to the three possible limit types.</t>
  </si>
  <si>
    <t>Architecture only: maxima identity -&gt; normalization consistency -&gt; type restriction/functional equation -&gt; three families. Mark tedious functional-equation details rather than letting them erase the big picture.</t>
  </si>
  <si>
    <t>8.7 passed</t>
  </si>
  <si>
    <t>Ex 17</t>
  </si>
  <si>
    <t>Elementary maxima normalization.</t>
  </si>
  <si>
    <t>Ex 27</t>
  </si>
  <si>
    <t>Extreme-value theory for minima.</t>
  </si>
  <si>
    <t>Ex 34</t>
  </si>
  <si>
    <t>Example 8.1.2 + Delta Method 8.3.1 + 8.7.1 context</t>
  </si>
  <si>
    <t>Connect Delta Method to an extreme-value result.</t>
  </si>
  <si>
    <t>Ex 16</t>
  </si>
  <si>
    <t>Deep synthesis / core</t>
  </si>
  <si>
    <t>8.7.1 + Chapter 7 regular variation/heavy-tail background</t>
  </si>
  <si>
    <t>Protected deep exercise. Keep the Chapter 7 connection explicit; if it expands, extend this exercise rather than adding parallel new exercises.</t>
  </si>
  <si>
    <t>8.7–8.7.1</t>
  </si>
  <si>
    <t>Section gate: state Convergence to Types, explain what non-degeneracy prevents, and describe conceptually why the three extreme-value families arise.</t>
  </si>
  <si>
    <t>8.7.1 core exercises attempted</t>
  </si>
  <si>
    <t>Architecture gate before final synthesis.</t>
  </si>
  <si>
    <t>Chapter synthesis</t>
  </si>
  <si>
    <t>Build the Chapter 8 convergence map and proof-dependency map from memory before looking back.</t>
  </si>
  <si>
    <t>Tell the chapter story: weak convergence definitions -&gt; Scheffe -&gt; Skorohod/mapping -&gt; Delta -&gt; Portmanteau -&gt; convergence hierarchy -&gt; approximation -&gt; types/extremes.</t>
  </si>
  <si>
    <t>All section gates passed</t>
  </si>
  <si>
    <t>No new exercise today; this is architectural consolidation.</t>
  </si>
  <si>
    <t>Chapter summary</t>
  </si>
  <si>
    <t>Write the final Chapter 8 summary around definitions, main results, proof ideas, technical tricks, pitfalls, and links to Chapters 6, 7, and 9.</t>
  </si>
  <si>
    <t>Chapter synthesis done</t>
  </si>
  <si>
    <t>Redo continues in parallel; unresolved redos are noted rather than blocking the summary.</t>
  </si>
  <si>
    <t>Post-chapter decision</t>
  </si>
  <si>
    <t>Review the optional/bridge pool and promote an exercise only for a specific conceptual reason.</t>
  </si>
  <si>
    <t>Chapter summary drafted</t>
  </si>
  <si>
    <t>The optional pool is not a backlog that must be cleared.</t>
  </si>
  <si>
    <t>Chapter 8 Study Dashboard</t>
  </si>
  <si>
    <t>Current rule set: learn section-by-section, tell what each important proof is doing, do at most one NEW exercise per day, and run redo work in parallel. Cumulative and post-chapter exercises are placed by prerequisite and pedagogical value, not by exercise number.</t>
  </si>
  <si>
    <t>Metric</t>
  </si>
  <si>
    <t>Value</t>
  </si>
  <si>
    <t>Current Position</t>
  </si>
  <si>
    <t>Status</t>
  </si>
  <si>
    <t>Action</t>
  </si>
  <si>
    <t>Scheduled core exercises</t>
  </si>
  <si>
    <t>Learned</t>
  </si>
  <si>
    <t>Local carryover Ex 18/20/21/32 remains.</t>
  </si>
  <si>
    <t>Post-chapter / optional exercises</t>
  </si>
  <si>
    <t>Proof tell-backs</t>
  </si>
  <si>
    <t>Lemma 8.1.1 + Thm 8.1.1 done</t>
  </si>
  <si>
    <t>No need to repeat them now.</t>
  </si>
  <si>
    <t>Core exercises with actual date</t>
  </si>
  <si>
    <t>Repaired and passed</t>
  </si>
  <si>
    <t>Use the normal spaced redo routine.</t>
  </si>
  <si>
    <t>Redo due and unresolved</t>
  </si>
  <si>
    <t>Paused</t>
  </si>
  <si>
    <t>Read/tell back Scheffe, then resume.</t>
  </si>
  <si>
    <t>Sections with completion date</t>
  </si>
  <si>
    <t>Next section</t>
  </si>
  <si>
    <t>Immediate next action is Scheffe.</t>
  </si>
  <si>
    <t>Core Study Flow</t>
  </si>
  <si>
    <t>1</t>
  </si>
  <si>
    <t>Learn section</t>
  </si>
  <si>
    <t>Understand definitions/results with the book open</t>
  </si>
  <si>
    <t>2</t>
  </si>
  <si>
    <t>Proof tell-back</t>
  </si>
  <si>
    <t>Explain what the proof is doing; deepen only the critical step if needed</t>
  </si>
  <si>
    <t>3</t>
  </si>
  <si>
    <t>Local exercise</t>
  </si>
  <si>
    <t>At most one new exercise that day</t>
  </si>
  <si>
    <t>4</t>
  </si>
  <si>
    <t>Parallel redo</t>
  </si>
  <si>
    <t>Any due redo may be done the same day; it does not consume the new-exercise slot</t>
  </si>
  <si>
    <t>5</t>
  </si>
  <si>
    <t>Section gate</t>
  </si>
  <si>
    <t>Check architecture before moving on</t>
  </si>
  <si>
    <t>6</t>
  </si>
  <si>
    <t>After chapter</t>
  </si>
  <si>
    <t>Choose bridge/optional exercises only for a specific reason</t>
  </si>
  <si>
    <t>Protected Deep Exercises</t>
  </si>
  <si>
    <t>Multi-part discrete/Scheffe exercise</t>
  </si>
  <si>
    <t>If it needs multiple days, continue the same exercise and shift later planned dates.</t>
  </si>
  <si>
    <t>Five-part Delta/variance synthesis</t>
  </si>
  <si>
    <t>Treat as one exercise; do not split attention across another new exercise.</t>
  </si>
  <si>
    <t>Regular variation/extremes</t>
  </si>
  <si>
    <t>Allow extra depth because it connects directly back to Chapter 7 heavy tails.</t>
  </si>
  <si>
    <t>First-pass Status</t>
  </si>
  <si>
    <t>Meaning</t>
  </si>
  <si>
    <t>Recommended Action</t>
  </si>
  <si>
    <t>Redo Offset Days</t>
  </si>
  <si>
    <t>Totally ignorance</t>
  </si>
  <si>
    <t>Cannot write meaningful structure.</t>
  </si>
  <si>
    <t>Repair the exercise first. Redo next day after rereading the exact theorem/definition; ask for a minimum hint only if still blank.</t>
  </si>
  <si>
    <t>Spark</t>
  </si>
  <si>
    <t>A blurred idea appears but cannot yet carry the proof.</t>
  </si>
  <si>
    <t>Repair until pass; redo after two days, focusing on recovering the route independently.</t>
  </si>
  <si>
    <t>Direction is right but a logical bridge is missing.</t>
  </si>
  <si>
    <t>Repair the bridge; redo after two days without leaning on the repaired solution.</t>
  </si>
  <si>
    <t>Logic is basically correct.</t>
  </si>
  <si>
    <t>C1 after two days; no immediate full rewrite unless presentation obscured the logic.</t>
  </si>
  <si>
    <t>Routine Rule</t>
  </si>
  <si>
    <t>Operational Rule</t>
  </si>
  <si>
    <t>Initial grade is fixed</t>
  </si>
  <si>
    <t>The grade records only the first attempt.</t>
  </si>
  <si>
    <t>Later repair, hints, and corrections never retroactively change the initial grade.</t>
  </si>
  <si>
    <t>Repair != redo</t>
  </si>
  <si>
    <t>Repair happens while the exercise is active; redo is a spaced independent reconstruction.</t>
  </si>
  <si>
    <t>RMarkdown becomes eligible after the repaired/final solution passes, even if the initial grade was low.</t>
  </si>
  <si>
    <t>Redo runs in parallel</t>
  </si>
  <si>
    <t>Redo does not consume the day's new-exercise slot.</t>
  </si>
  <si>
    <t>A normal study day may contain one new exercise plus any due redo. Do not slow the chapter calendar merely because a redo is due.</t>
  </si>
  <si>
    <t>One new exercise per day</t>
  </si>
  <si>
    <t>The pacing rule applies only to new exercises.</t>
  </si>
  <si>
    <t>Protected deep exercises (especially Ex 4, 16, 23) may take multiple days; while one is still active, do not open another new exercise.</t>
  </si>
  <si>
    <t>Proof tell-back counts</t>
  </si>
  <si>
    <t>Proof study is not just reading.</t>
  </si>
  <si>
    <t>Bottom line: you can tell what the theorem/lemma proof is doing. Full reconstruction is required only when the mathematical value justifies it.</t>
  </si>
  <si>
    <t>Prerequisite interruption</t>
  </si>
  <si>
    <t>An exercise invokes a theorem/lemma not yet learned.</t>
  </si>
  <si>
    <t>Pause the exercise, learn/tell back the needed result, then resume. The pause is not a failed attempt.</t>
  </si>
  <si>
    <t>Section-local vs cumulative</t>
  </si>
  <si>
    <t>Earliest solvable point is not always the best pedagogical point.</t>
  </si>
  <si>
    <t>Do section-local exercises near the section; delay cumulative exercises until the relevant tools have accumulated.</t>
  </si>
  <si>
    <t>Post-chapter pool</t>
  </si>
  <si>
    <t>Some exercises synthesize the whole chapter or point to Chapter 9.</t>
  </si>
  <si>
    <t>Do not treat them as backlog. Promote them only for a specific conceptual reason after the core chapter is complete.</t>
  </si>
  <si>
    <t>Final redo sweep</t>
  </si>
  <si>
    <t>Redo still matters after a basically correct first proof.</t>
  </si>
  <si>
    <t>At chapter end, inspect unresolved redo results and central exercises; select targeted final redos rather than mechanically redoing everything.</t>
  </si>
  <si>
    <t>Minefield protocol</t>
  </si>
  <si>
    <t>When an exercise is shared in chat, diagnose the user's literal idea first.</t>
  </si>
  <si>
    <t>Identify exact logical gaps before hints; do not jump directly to a full solution.</t>
  </si>
  <si>
    <t>Chapter 8 Exercise Map — all 36 exercises</t>
  </si>
  <si>
    <t>The map distinguishes earliest safe point from recommended placement. 'Scheduled core' exercises appear in the main plan; optional/bridge exercises are deliberately delayed until after the chapter or promoted only for a specific reason.</t>
  </si>
  <si>
    <t>Exercise</t>
  </si>
  <si>
    <t>Earliest Safe Point</t>
  </si>
  <si>
    <t>Recommended Placement</t>
  </si>
  <si>
    <t>Type</t>
  </si>
  <si>
    <t>Priority</t>
  </si>
  <si>
    <t>Scheduled Core?</t>
  </si>
  <si>
    <t>Primary Tool / Section</t>
  </si>
  <si>
    <t>Depth Risk</t>
  </si>
  <si>
    <t>Planning Note</t>
  </si>
  <si>
    <t>After 8.3.1</t>
  </si>
  <si>
    <t>Section-local</t>
  </si>
  <si>
    <t>Core</t>
  </si>
  <si>
    <t>Yes</t>
  </si>
  <si>
    <t>Delta Method</t>
  </si>
  <si>
    <t>Normal</t>
  </si>
  <si>
    <t>Binomial/log-odds estimator; direct Delta Method practice.</t>
  </si>
  <si>
    <t>8.1 + Ch6</t>
  </si>
  <si>
    <t>After 8.1</t>
  </si>
  <si>
    <t>Convergence modes + Borel-Cantelli</t>
  </si>
  <si>
    <t>Already completed after repair; keep its redo separate from the new-exercise slot.</t>
  </si>
  <si>
    <t>8.3.1 + Ch7 + CLT</t>
  </si>
  <si>
    <t>After chapter / optional bridge</t>
  </si>
  <si>
    <t>Cumulative bridge</t>
  </si>
  <si>
    <t>Useful</t>
  </si>
  <si>
    <t>No</t>
  </si>
  <si>
    <t>SLLN + CLT + Delta</t>
  </si>
  <si>
    <t>Good bridge, but not needed for the Chapter 8 backbone; if you want Resnick's CLT machinery first, revisit after Chapter 9.</t>
  </si>
  <si>
    <t>After 8.2</t>
  </si>
  <si>
    <t>Discrete weak convergence + Scheffe</t>
  </si>
  <si>
    <t>Multi-part</t>
  </si>
  <si>
    <t>Part (b) explicitly uses Scheffe with counting measure; the old placement before 8.2 was wrong.</t>
  </si>
  <si>
    <t>After 8.4</t>
  </si>
  <si>
    <t>Cumulative</t>
  </si>
  <si>
    <t>Monotonicity + weak convergence</t>
  </si>
  <si>
    <t>Natural after Portmanteau; strengthened uniform cdf convergence.</t>
  </si>
  <si>
    <t>With 8.7</t>
  </si>
  <si>
    <t>Theorem-support</t>
  </si>
  <si>
    <t>Affine uniqueness / Convergence to Types</t>
  </si>
  <si>
    <t>Technically earlier, but pedagogically belongs with the type theorem.</t>
  </si>
  <si>
    <t>Derivative/scaling repetition.</t>
  </si>
  <si>
    <t>After 8.2.1</t>
  </si>
  <si>
    <t>Order statistics + Scheffe</t>
  </si>
  <si>
    <t>Direct route vs Renyi spacings if useful.</t>
  </si>
  <si>
    <t>Portmanteau test functions</t>
  </si>
  <si>
    <t>Compact-support characterization.</t>
  </si>
  <si>
    <t>After 8.5</t>
  </si>
  <si>
    <t>Weak vs convergence in probability</t>
  </si>
  <si>
    <t>Better after the convergence hierarchy is assembled.</t>
  </si>
  <si>
    <t>After chapter / optional</t>
  </si>
  <si>
    <t>Deep extension</t>
  </si>
  <si>
    <t>Advanced/Optional</t>
  </si>
  <si>
    <t>Levy metric</t>
  </si>
  <si>
    <t>High</t>
  </si>
  <si>
    <t>Valuable topology; can become a long detour.</t>
  </si>
  <si>
    <t>Scheffe caveat</t>
  </si>
  <si>
    <t>Weak convergence while densities fail to converge.</t>
  </si>
  <si>
    <t>About 8.3; cleaner after 8.7</t>
  </si>
  <si>
    <t>Cumulative extension</t>
  </si>
  <si>
    <t>Parametric families / types</t>
  </si>
  <si>
    <t>Normal/Poisson/exponential parameter identification; useful but not required for the backbone.</t>
  </si>
  <si>
    <t>8.6 + Ch7</t>
  </si>
  <si>
    <t>After 8.6</t>
  </si>
  <si>
    <t>Section-local application</t>
  </si>
  <si>
    <t>SLLN + Slutsky</t>
  </si>
  <si>
    <t>Coordinate of a high-dimensional sphere.</t>
  </si>
  <si>
    <t>Weissman / types</t>
  </si>
  <si>
    <t>Substantial functional-equation/normalization extension.</t>
  </si>
  <si>
    <t>After 8.7.1</t>
  </si>
  <si>
    <t>Deep synthesis</t>
  </si>
  <si>
    <t>Regular variation + extreme values</t>
  </si>
  <si>
    <t>Protected deep exercise; strong Chapter 7 heavy-tail bridge.</t>
  </si>
  <si>
    <t>8.1 technically</t>
  </si>
  <si>
    <t>Section-local to EVT</t>
  </si>
  <si>
    <t>Extreme-value normalization</t>
  </si>
  <si>
    <t>Do after learning what extreme-value theory is classifying.</t>
  </si>
  <si>
    <t>Weak convergence intuition</t>
  </si>
  <si>
    <t>Low</t>
  </si>
  <si>
    <t>Discrete laws converging to a continuous law.</t>
  </si>
  <si>
    <t>After 8.3</t>
  </si>
  <si>
    <t>Second CMT</t>
  </si>
  <si>
    <t>Medium</t>
  </si>
  <si>
    <t>Direct continuous-mapping extension.</t>
  </si>
  <si>
    <t>Direct cdf scaling</t>
  </si>
  <si>
    <t>Geometric waiting time -&gt; exponential.</t>
  </si>
  <si>
    <t>Birthday-collision scaling limit.</t>
  </si>
  <si>
    <t>Book explicitly hints to use Scheffe.</t>
  </si>
  <si>
    <t>Delta + CLT + Slutsky-style reasoning</t>
  </si>
  <si>
    <t>Treat all parts as one protected deep exercise.</t>
  </si>
  <si>
    <t>After chapter / preferably with Ch9</t>
  </si>
  <si>
    <t>Bridge</t>
  </si>
  <si>
    <t>Convolution / characteristic-function bridge</t>
  </si>
  <si>
    <t>Directly solvable earlier, but Chapter 9 gives the natural language.</t>
  </si>
  <si>
    <t>8.4 technically</t>
  </si>
  <si>
    <t>After chapter / Ch9</t>
  </si>
  <si>
    <t>Major bridge</t>
  </si>
  <si>
    <t>Convolution transforms / smoothing</t>
  </si>
  <si>
    <t>Very High</t>
  </si>
  <si>
    <t>Six-part mini-project; deliberately outside the core first pass.</t>
  </si>
  <si>
    <t>After 8.7</t>
  </si>
  <si>
    <t>Convergence to Types</t>
  </si>
  <si>
    <t>Symmetrization removes centering.</t>
  </si>
  <si>
    <t>Extreme-value minima</t>
  </si>
  <si>
    <t>Complements maxima.</t>
  </si>
  <si>
    <t>Oscillating densities / weak convergence</t>
  </si>
  <si>
    <t>Richer density-convergence warning; good after 8.4 if promoted.</t>
  </si>
  <si>
    <t>Smooth normalizers / types</t>
  </si>
  <si>
    <t>Technical normalization theory.</t>
  </si>
  <si>
    <t>8.7 + Ch6</t>
  </si>
  <si>
    <t>After chapter / possibly Ch9</t>
  </si>
  <si>
    <t>Deep bridge</t>
  </si>
  <si>
    <t>Moment control + normalization</t>
  </si>
  <si>
    <t>Moment/UI heavy; mgf remark points forward.</t>
  </si>
  <si>
    <t>8.3 + Ch6 UI</t>
  </si>
  <si>
    <t>Baby Skorohod + UI</t>
  </si>
  <si>
    <t>Book explicitly hints to use Baby Skorohod and uniform integrability.</t>
  </si>
  <si>
    <t>Continuity-point logic</t>
  </si>
  <si>
    <t>Bernoulli limit with jumps at endpoints.</t>
  </si>
  <si>
    <t>Any time</t>
  </si>
  <si>
    <t>Immediately before Ex 5</t>
  </si>
  <si>
    <t>Supporting</t>
  </si>
  <si>
    <t>Uniform continuity of a continuous df</t>
  </si>
  <si>
    <t>Short supporting result for the uniform-cdf exercise.</t>
  </si>
  <si>
    <t>8.3.1 + Ex 8.1.2</t>
  </si>
  <si>
    <t>Cumulative synthesis</t>
  </si>
  <si>
    <t>Delta Method + extremes</t>
  </si>
  <si>
    <t>Placed after both themes are learned.</t>
  </si>
  <si>
    <t>Uniformity over equicontinuous test functions</t>
  </si>
  <si>
    <t>Genuine Portmanteau strengthening.</t>
  </si>
  <si>
    <t>8.4 (or 8.2 via Scheffe)</t>
  </si>
  <si>
    <t>Weak convergence + continuous reweighting</t>
  </si>
  <si>
    <t>Book permits direct or Scheffe route.</t>
  </si>
  <si>
    <t>Chapter 8 Section-by-Section Learning Plan</t>
  </si>
  <si>
    <t>Cycle: learn the section -&gt; tell what the main proof(s) are doing -&gt; do section-local exercises -&gt; hold cumulative/bridge exercises until their natural point -&gt; pass the section architecture check. Redos run in parallel and do not consume the day's new-exercise slot.</t>
  </si>
  <si>
    <t>Reading Focus</t>
  </si>
  <si>
    <t>Proof Tell-Back Bottom Line</t>
  </si>
  <si>
    <t>Section-Local Core Exercises</t>
  </si>
  <si>
    <t>Cumulative Exercises Placed Later</t>
  </si>
  <si>
    <t>Post-Chapter / Optional Related</t>
  </si>
  <si>
    <t>Exit Check</t>
  </si>
  <si>
    <t>Actual Reading Complete</t>
  </si>
  <si>
    <t>Actual Proof Tell-Back</t>
  </si>
  <si>
    <t>Section Complete</t>
  </si>
  <si>
    <t>8.1 Basic Definitions</t>
  </si>
  <si>
    <t>Properness; continuity points; vague/proper/weak/complete convergence; Lemma 8.1.1; Theorem 8.1.1; uniqueness; examples.</t>
  </si>
  <si>
    <t>Lemma 8.1.1: dense-set extension and epsilon-room/right-continuity idea. Theorem 8.1.1: what each direction does and where properness controls tails.</t>
  </si>
  <si>
    <t>Ex 2, 18, 20, 21, 32</t>
  </si>
  <si>
    <t>Ex 10 is intentionally revisited after 8.5 for the convergence-map interpretation.</t>
  </si>
  <si>
    <t>Ex 3 (bridge if desired later)</t>
  </si>
  <si>
    <t>Explain why weak convergence is about laws, how continuity points enter, and why properness prevents escaped mass.</t>
  </si>
  <si>
    <t>8.1 reading and the two proof tell-backs are already essentially done in chat; remaining local exercises are catch-up after resolving Ex 4.</t>
  </si>
  <si>
    <t>Pointwise density convergence, L1 distance, total variation, Scheffe; counting measure for discrete distributions.</t>
  </si>
  <si>
    <t>Explain the sign split/positive-negative part mechanism and why it upgrades density convergence.</t>
  </si>
  <si>
    <t>Ex 4, 12</t>
  </si>
  <si>
    <t>Ex 28 later if you want a richer oscillating-density example.</t>
  </si>
  <si>
    <t>Distinguish weak, total variation, pointwise-density, and L1 convergence; explain why counting measure makes pmfs densities.</t>
  </si>
  <si>
    <t>Ex 4(b) explicitly needs Scheffe; this is the prerequisite that forced the plan rebuild.</t>
  </si>
  <si>
    <t>8.2.1 Order Statistics</t>
  </si>
  <si>
    <t>Order-statistic density; normalization; Scheffe application; forward reference to convergence to types.</t>
  </si>
  <si>
    <t>Architecture: density -&gt; normalization -&gt; pointwise density limit -&gt; Scheffe -&gt; weak limit.</t>
  </si>
  <si>
    <t>Ex 8, 22</t>
  </si>
  <si>
    <t>Recognize the common order-statistic/Scheffe proof pattern without reproducing all Stirling bookkeeping.</t>
  </si>
  <si>
    <t>Mark the 8.7 normalization reference and revisit it later.</t>
  </si>
  <si>
    <t>8.3 Baby Skorohod / CMT</t>
  </si>
  <si>
    <t>Quantile lemma; Baby Skorohod coupling; Continuous Mapping Theorem.</t>
  </si>
  <si>
    <t>Quantiles give a coupling with matching laws; a.s. convergence on the new space makes continuity arguments possible.</t>
  </si>
  <si>
    <t>Explain why the new variables are a proof device and why original dependence is not preserved.</t>
  </si>
  <si>
    <t>8.3.1 Delta Method</t>
  </si>
  <si>
    <t>Delta Method statement, Taylor linearization, statistical interpretation.</t>
  </si>
  <si>
    <t>First-order linearization + negligible remainder + transfer of the existing weak limit.</t>
  </si>
  <si>
    <t>Ex 1, 7</t>
  </si>
  <si>
    <t>Ex 23 after 8.6; Ex 34 after 8.7.1.</t>
  </si>
  <si>
    <t>Ex 3 if you want an extra SLLN/CLT/Delta bridge.</t>
  </si>
  <si>
    <t>Identify the derivative and scaling before algebra; explain why first order is enough.</t>
  </si>
  <si>
    <t>Equivalent formulations via cdfs, bounded continuous functions, and continuity sets.</t>
  </si>
  <si>
    <t>Know what each implication does; reconstruct the nontrivial converse/indicator-approximation idea rather than every line.</t>
  </si>
  <si>
    <t>Ex 33, 5, 9, 36</t>
  </si>
  <si>
    <t>Ex 11 and 35 are advanced extensions; Ex 28 can also be revisited here.</t>
  </si>
  <si>
    <t>Given a problem, deliberately choose the easiest Portmanteau formulation and justify the choice.</t>
  </si>
  <si>
    <t>Ex 33 is a supporting exercise before Ex 5.</t>
  </si>
  <si>
    <t>8.5 Relations among modes</t>
  </si>
  <si>
    <t>a.s. -&gt; i.p. -&gt; distribution; failed converses; constant-limit exception.</t>
  </si>
  <si>
    <t>Tell the convergence map and explain why a constant limit makes distributional convergence imply convergence in probability.</t>
  </si>
  <si>
    <t>Ex 10, 31</t>
  </si>
  <si>
    <t>Separate coupling information from law information; explain why weak convergence alone does not give moment convergence.</t>
  </si>
  <si>
    <t>8.6 New Convergences from Old</t>
  </si>
  <si>
    <t>Slutsky; Second Converging Together Theorem; approximation principle.</t>
  </si>
  <si>
    <t>Small perturbations preserve weak limits; converging together handles tractable approximations plus small errors.</t>
  </si>
  <si>
    <t>Ex 23 is placed here as a cumulative exercise.</t>
  </si>
  <si>
    <t>Ex 24 is delayed to the post-chapter/Chapter 9 bridge pool.</t>
  </si>
  <si>
    <t>Identify the approximation, its limit, and the error term in a converging-together argument.</t>
  </si>
  <si>
    <t>8.6.1 m-dependent CLT</t>
  </si>
  <si>
    <t>Variance asymptotics and big-block/little-block approximation.</t>
  </si>
  <si>
    <t>Architecture only: independent big blocks + negligible remainder + converging together.</t>
  </si>
  <si>
    <t>No forced new exercise</t>
  </si>
  <si>
    <t>Explain the proof as an application of the 8.6 approximation principle.</t>
  </si>
  <si>
    <t>The proof/application itself is the practice.</t>
  </si>
  <si>
    <t>Affine normalizations; non-degenerate limits; Convergence to Types theorem.</t>
  </si>
  <si>
    <t>Focus on the quantile argument that forces scale/centering constants to converge.</t>
  </si>
  <si>
    <t>Ex 6, 26</t>
  </si>
  <si>
    <t>Ex 13 and 15 if deeper type-theorem work is desired later.</t>
  </si>
  <si>
    <t>State the type conclusion and explain what non-degeneracy rules out.</t>
  </si>
  <si>
    <t>8.7.1 Extremes</t>
  </si>
  <si>
    <t>Maxima normalization; extreme-value classification; three families.</t>
  </si>
  <si>
    <t>Architecture: maxima identity -&gt; normalization consistency -&gt; type restriction -&gt; three possible families.</t>
  </si>
  <si>
    <t>Ex 17, 27, 34, 16</t>
  </si>
  <si>
    <t>Ex 29 and 30 are advanced normalization extensions.</t>
  </si>
  <si>
    <t>Describe the three extreme-value types conceptually and how convergence to types constrains the classification.</t>
  </si>
  <si>
    <t>Ex 16 is a protected deep exercise and a Chapter 7 heavy-tail bridge.</t>
  </si>
</sst>
</file>

<file path=xl/styles.xml><?xml version="1.0" encoding="utf-8"?>
<styleSheet xmlns="http://schemas.openxmlformats.org/spreadsheetml/2006/main">
  <numFmts count="5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176" formatCode="yyyy\-mm\-dd"/>
  </numFmts>
  <fonts count="23">
    <font>
      <sz val="11"/>
      <name val="Carlito"/>
      <charset val="134"/>
    </font>
    <font>
      <b/>
      <sz val="14"/>
      <color rgb="FFFFFFFF"/>
      <name val="Carlito"/>
      <charset val="134"/>
    </font>
    <font>
      <b/>
      <sz val="11"/>
      <color rgb="FFFFFFFF"/>
      <name val="Carlito"/>
      <charset val="134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EAF5FB"/>
        <bgColor indexed="64"/>
      </patternFill>
    </fill>
    <fill>
      <patternFill patternType="solid">
        <fgColor rgb="FFD9EEF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50">
    <xf numFmtId="0" fontId="0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10" fillId="15" borderId="2" applyNumberFormat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8" fillId="21" borderId="4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17" fillId="28" borderId="7" applyNumberFormat="0" applyAlignment="0" applyProtection="0">
      <alignment vertical="center"/>
    </xf>
    <xf numFmtId="0" fontId="18" fillId="28" borderId="2" applyNumberFormat="0" applyAlignment="0" applyProtection="0">
      <alignment vertical="center"/>
    </xf>
    <xf numFmtId="0" fontId="11" fillId="20" borderId="3" applyNumberFormat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0" fillId="0" borderId="0"/>
  </cellStyleXfs>
  <cellXfs count="17">
    <xf numFmtId="0" fontId="0" fillId="0" borderId="0" xfId="0" applyAlignment="1"/>
    <xf numFmtId="0" fontId="1" fillId="2" borderId="0" xfId="49" applyFont="1" applyFill="1" applyAlignment="1">
      <alignment wrapText="1"/>
    </xf>
    <xf numFmtId="0" fontId="0" fillId="3" borderId="0" xfId="49" applyFill="1" applyAlignment="1">
      <alignment wrapText="1"/>
    </xf>
    <xf numFmtId="0" fontId="2" fillId="2" borderId="0" xfId="49" applyFont="1" applyFill="1" applyAlignment="1">
      <alignment horizontal="center" vertical="center" wrapText="1"/>
    </xf>
    <xf numFmtId="0" fontId="0" fillId="4" borderId="0" xfId="49" applyFill="1" applyAlignment="1">
      <alignment wrapText="1"/>
    </xf>
    <xf numFmtId="176" fontId="0" fillId="4" borderId="0" xfId="49" applyNumberFormat="1" applyFill="1" applyAlignment="1">
      <alignment wrapText="1"/>
    </xf>
    <xf numFmtId="0" fontId="0" fillId="0" borderId="0" xfId="49" applyAlignment="1">
      <alignment wrapText="1"/>
    </xf>
    <xf numFmtId="176" fontId="0" fillId="0" borderId="0" xfId="49" applyNumberFormat="1" applyAlignment="1">
      <alignment wrapText="1"/>
    </xf>
    <xf numFmtId="0" fontId="1" fillId="2" borderId="0" xfId="49" applyFont="1" applyFill="1" applyAlignment="1">
      <alignment vertical="top" wrapText="1"/>
    </xf>
    <xf numFmtId="0" fontId="0" fillId="3" borderId="0" xfId="49" applyFill="1" applyAlignment="1">
      <alignment vertical="top" wrapText="1"/>
    </xf>
    <xf numFmtId="0" fontId="0" fillId="0" borderId="0" xfId="49" applyAlignment="1">
      <alignment vertical="top" wrapText="1"/>
    </xf>
    <xf numFmtId="0" fontId="2" fillId="2" borderId="0" xfId="49" applyFont="1" applyFill="1" applyAlignment="1">
      <alignment vertical="top" wrapText="1"/>
    </xf>
    <xf numFmtId="1" fontId="0" fillId="0" borderId="0" xfId="49" applyNumberFormat="1" applyAlignment="1">
      <alignment vertical="top" wrapText="1"/>
    </xf>
    <xf numFmtId="0" fontId="2" fillId="2" borderId="0" xfId="49" applyFont="1" applyFill="1" applyAlignment="1">
      <alignment horizontal="center" vertical="top" wrapText="1"/>
    </xf>
    <xf numFmtId="0" fontId="0" fillId="4" borderId="0" xfId="49" applyFill="1" applyAlignment="1">
      <alignment vertical="top" wrapText="1"/>
    </xf>
    <xf numFmtId="176" fontId="0" fillId="4" borderId="0" xfId="49" applyNumberFormat="1" applyFill="1" applyAlignment="1">
      <alignment vertical="top" wrapText="1"/>
    </xf>
    <xf numFmtId="176" fontId="0" fillId="0" borderId="0" xfId="49" applyNumberFormat="1" applyAlignment="1">
      <alignment vertical="top" wrapText="1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Normal" xfId="49"/>
  </cellStyles>
  <dxfs count="1">
    <dxf>
      <font>
        <b val="1"/>
        <color rgb="FF9C0006"/>
      </font>
      <fill>
        <patternFill patternType="solid">
          <bgColor rgb="FFFDE9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43"/>
  <sheetViews>
    <sheetView tabSelected="1" zoomScale="85" zoomScaleNormal="85" topLeftCell="F1" workbookViewId="0">
      <pane ySplit="1" topLeftCell="A8" activePane="bottomLeft" state="frozen"/>
      <selection/>
      <selection pane="bottomLeft" activeCell="J11" sqref="J11"/>
    </sheetView>
  </sheetViews>
  <sheetFormatPr defaultColWidth="9" defaultRowHeight="14.25"/>
  <cols>
    <col min="1" max="1" width="8" customWidth="1"/>
    <col min="2" max="2" width="13" customWidth="1"/>
    <col min="3" max="3" width="17" customWidth="1"/>
    <col min="4" max="5" width="40" customWidth="1"/>
    <col min="6" max="6" width="12" customWidth="1"/>
    <col min="7" max="7" width="23" customWidth="1"/>
    <col min="8" max="8" width="34" customWidth="1"/>
    <col min="9" max="9" width="38" customWidth="1"/>
    <col min="10" max="11" width="15" customWidth="1"/>
    <col min="12" max="12" width="17" customWidth="1"/>
    <col min="13" max="13" width="16" customWidth="1"/>
    <col min="14" max="14" width="28" customWidth="1"/>
    <col min="15" max="15" width="14" customWidth="1"/>
    <col min="16" max="16" width="18" customWidth="1"/>
    <col min="17" max="17" width="16" customWidth="1"/>
    <col min="18" max="18" width="18" customWidth="1"/>
    <col min="19" max="19" width="14" customWidth="1"/>
    <col min="20" max="20" width="35" customWidth="1"/>
  </cols>
  <sheetData>
    <row r="1" ht="30" spans="1:20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3" t="s">
        <v>15</v>
      </c>
      <c r="Q1" s="13" t="s">
        <v>16</v>
      </c>
      <c r="R1" s="13" t="s">
        <v>17</v>
      </c>
      <c r="S1" s="13" t="s">
        <v>18</v>
      </c>
      <c r="T1" s="13" t="s">
        <v>19</v>
      </c>
    </row>
    <row r="2" ht="57" spans="1:20">
      <c r="A2" s="14">
        <v>1</v>
      </c>
      <c r="B2" s="15">
        <v>46273</v>
      </c>
      <c r="C2" s="14" t="s">
        <v>20</v>
      </c>
      <c r="D2" s="14"/>
      <c r="E2" s="14"/>
      <c r="F2" s="14" t="s">
        <v>21</v>
      </c>
      <c r="G2" s="14" t="s">
        <v>22</v>
      </c>
      <c r="H2" s="14" t="s">
        <v>23</v>
      </c>
      <c r="I2" s="14" t="s">
        <v>24</v>
      </c>
      <c r="J2" s="15"/>
      <c r="K2" s="15"/>
      <c r="L2" s="15">
        <v>46273</v>
      </c>
      <c r="M2" s="14" t="s">
        <v>25</v>
      </c>
      <c r="N2" s="14"/>
      <c r="O2" s="14"/>
      <c r="P2" s="15">
        <f>IF(AND($L2&lt;&gt;"",$M2&lt;&gt;""),$L2+VLOOKUP($M2,'Redo Rules'!$A$2:$D$5,4,FALSE),"")</f>
        <v>46275</v>
      </c>
      <c r="Q2" s="15">
        <v>46278</v>
      </c>
      <c r="R2" s="14"/>
      <c r="S2" s="14"/>
      <c r="T2" s="14" t="s">
        <v>26</v>
      </c>
    </row>
    <row r="3" ht="71.25" spans="1:20">
      <c r="A3" s="10">
        <v>2</v>
      </c>
      <c r="B3" s="16">
        <v>46274</v>
      </c>
      <c r="C3" s="10" t="s">
        <v>27</v>
      </c>
      <c r="D3" s="10" t="s">
        <v>28</v>
      </c>
      <c r="E3" s="10" t="s">
        <v>29</v>
      </c>
      <c r="F3" s="10"/>
      <c r="G3" s="10"/>
      <c r="H3" s="10" t="s">
        <v>30</v>
      </c>
      <c r="I3" s="10" t="s">
        <v>31</v>
      </c>
      <c r="J3" s="16"/>
      <c r="K3" s="16"/>
      <c r="L3" s="16"/>
      <c r="M3" s="10"/>
      <c r="N3" s="10"/>
      <c r="O3" s="10"/>
      <c r="P3" s="16"/>
      <c r="Q3" s="16"/>
      <c r="R3" s="10"/>
      <c r="S3" s="10"/>
      <c r="T3" s="10"/>
    </row>
    <row r="4" ht="42.75" spans="1:20">
      <c r="A4" s="14">
        <v>3</v>
      </c>
      <c r="B4" s="15">
        <v>46275</v>
      </c>
      <c r="C4" s="14" t="s">
        <v>27</v>
      </c>
      <c r="D4" s="14"/>
      <c r="E4" s="14"/>
      <c r="F4" s="14" t="s">
        <v>32</v>
      </c>
      <c r="G4" s="14" t="s">
        <v>33</v>
      </c>
      <c r="H4" s="14" t="s">
        <v>34</v>
      </c>
      <c r="I4" s="14" t="s">
        <v>35</v>
      </c>
      <c r="J4" s="15"/>
      <c r="K4" s="15"/>
      <c r="L4" s="15">
        <v>46276</v>
      </c>
      <c r="M4" s="14" t="s">
        <v>25</v>
      </c>
      <c r="N4" s="14"/>
      <c r="O4" s="14"/>
      <c r="P4" s="15">
        <f>IF(AND($L4&lt;&gt;"",$M4&lt;&gt;""),$L4+VLOOKUP($M4,'Redo Rules'!$A$2:$D$5,4,FALSE),"")</f>
        <v>46278</v>
      </c>
      <c r="Q4" s="15">
        <v>46278</v>
      </c>
      <c r="R4" s="14"/>
      <c r="S4" s="14"/>
      <c r="T4" s="14" t="s">
        <v>36</v>
      </c>
    </row>
    <row r="5" ht="42.75" spans="1:20">
      <c r="A5" s="10">
        <v>4</v>
      </c>
      <c r="B5" s="16">
        <v>46276</v>
      </c>
      <c r="C5" s="10" t="s">
        <v>27</v>
      </c>
      <c r="D5" s="10"/>
      <c r="E5" s="10"/>
      <c r="F5" s="10" t="s">
        <v>37</v>
      </c>
      <c r="G5" s="10" t="s">
        <v>33</v>
      </c>
      <c r="H5" s="10" t="s">
        <v>38</v>
      </c>
      <c r="I5" s="10" t="s">
        <v>39</v>
      </c>
      <c r="J5" s="16"/>
      <c r="K5" s="16"/>
      <c r="L5" s="16">
        <v>46277</v>
      </c>
      <c r="M5" s="10" t="s">
        <v>40</v>
      </c>
      <c r="N5" s="10"/>
      <c r="O5" s="10"/>
      <c r="P5" s="16">
        <f>IF(AND($L5&lt;&gt;"",$M5&lt;&gt;""),$L5+VLOOKUP($M5,'Redo Rules'!$A$2:$D$5,4,FALSE),"")</f>
        <v>46279</v>
      </c>
      <c r="Q5" s="16"/>
      <c r="R5" s="10"/>
      <c r="S5" s="10"/>
      <c r="T5" s="10"/>
    </row>
    <row r="6" ht="28.5" spans="1:20">
      <c r="A6" s="14">
        <v>5</v>
      </c>
      <c r="B6" s="15">
        <v>46277</v>
      </c>
      <c r="C6" s="14" t="s">
        <v>41</v>
      </c>
      <c r="D6" s="14"/>
      <c r="E6" s="14"/>
      <c r="F6" s="14" t="s">
        <v>42</v>
      </c>
      <c r="G6" s="14" t="s">
        <v>33</v>
      </c>
      <c r="H6" s="14" t="s">
        <v>43</v>
      </c>
      <c r="I6" s="14" t="s">
        <v>44</v>
      </c>
      <c r="J6" s="15"/>
      <c r="K6" s="15"/>
      <c r="L6" s="15">
        <v>46278</v>
      </c>
      <c r="M6" s="14" t="s">
        <v>40</v>
      </c>
      <c r="N6" s="14"/>
      <c r="O6" s="14"/>
      <c r="P6" s="15">
        <f>IF(AND($L6&lt;&gt;"",$M6&lt;&gt;""),$L6+VLOOKUP($M6,'Redo Rules'!$A$2:$D$5,4,FALSE),"")</f>
        <v>46280</v>
      </c>
      <c r="Q6" s="15"/>
      <c r="R6" s="14"/>
      <c r="S6" s="14"/>
      <c r="T6" s="14"/>
    </row>
    <row r="7" ht="28.5" spans="1:20">
      <c r="A7" s="10">
        <v>6</v>
      </c>
      <c r="B7" s="16">
        <v>46278</v>
      </c>
      <c r="C7" s="10" t="s">
        <v>41</v>
      </c>
      <c r="D7" s="10"/>
      <c r="E7" s="10"/>
      <c r="F7" s="10" t="s">
        <v>45</v>
      </c>
      <c r="G7" s="10" t="s">
        <v>46</v>
      </c>
      <c r="H7" s="10" t="s">
        <v>43</v>
      </c>
      <c r="I7" s="10" t="s">
        <v>47</v>
      </c>
      <c r="J7" s="16"/>
      <c r="K7" s="16"/>
      <c r="L7" s="16">
        <v>46279</v>
      </c>
      <c r="M7" s="10" t="s">
        <v>40</v>
      </c>
      <c r="N7" s="10"/>
      <c r="O7" s="10"/>
      <c r="P7" s="16">
        <f>IF(AND($L7&lt;&gt;"",$M7&lt;&gt;""),$L7+VLOOKUP($M7,'Redo Rules'!$A$2:$D$5,4,FALSE),"")</f>
        <v>46281</v>
      </c>
      <c r="Q7" s="16"/>
      <c r="R7" s="10"/>
      <c r="S7" s="10"/>
      <c r="T7" s="10"/>
    </row>
    <row r="8" ht="28.5" spans="1:20">
      <c r="A8" s="14">
        <v>7</v>
      </c>
      <c r="B8" s="15">
        <v>46279</v>
      </c>
      <c r="C8" s="14" t="s">
        <v>41</v>
      </c>
      <c r="D8" s="14"/>
      <c r="E8" s="14"/>
      <c r="F8" s="14" t="s">
        <v>48</v>
      </c>
      <c r="G8" s="14" t="s">
        <v>46</v>
      </c>
      <c r="H8" s="14" t="s">
        <v>43</v>
      </c>
      <c r="I8" s="14" t="s">
        <v>49</v>
      </c>
      <c r="J8" s="15"/>
      <c r="K8" s="15"/>
      <c r="L8" s="15">
        <v>46279</v>
      </c>
      <c r="M8" s="14" t="s">
        <v>25</v>
      </c>
      <c r="N8" s="14"/>
      <c r="O8" s="14"/>
      <c r="P8" s="15">
        <f>IF(AND($L8&lt;&gt;"",$M8&lt;&gt;""),$L8+VLOOKUP($M8,'Redo Rules'!$A$2:$D$5,4,FALSE),"")</f>
        <v>46281</v>
      </c>
      <c r="Q8" s="15"/>
      <c r="R8" s="14"/>
      <c r="S8" s="14"/>
      <c r="T8" s="14"/>
    </row>
    <row r="9" ht="28.5" spans="1:20">
      <c r="A9" s="10">
        <v>8</v>
      </c>
      <c r="B9" s="16">
        <v>46280</v>
      </c>
      <c r="C9" s="10" t="s">
        <v>41</v>
      </c>
      <c r="D9" s="10"/>
      <c r="E9" s="10"/>
      <c r="F9" s="10" t="s">
        <v>50</v>
      </c>
      <c r="G9" s="10" t="s">
        <v>33</v>
      </c>
      <c r="H9" s="10" t="s">
        <v>51</v>
      </c>
      <c r="I9" s="10" t="s">
        <v>52</v>
      </c>
      <c r="J9" s="16"/>
      <c r="K9" s="16"/>
      <c r="L9" s="16"/>
      <c r="M9" s="10"/>
      <c r="N9" s="10"/>
      <c r="O9" s="10"/>
      <c r="P9" s="16" t="str">
        <f>IF(AND($L9&lt;&gt;"",$M9&lt;&gt;""),$L9+VLOOKUP($M9,'Redo Rules'!$A$2:$D$5,4,FALSE),"")</f>
        <v/>
      </c>
      <c r="Q9" s="16"/>
      <c r="R9" s="10"/>
      <c r="S9" s="10"/>
      <c r="T9" s="10"/>
    </row>
    <row r="10" ht="57" spans="1:20">
      <c r="A10" s="14">
        <v>9</v>
      </c>
      <c r="B10" s="15">
        <v>46281</v>
      </c>
      <c r="C10" s="14" t="s">
        <v>53</v>
      </c>
      <c r="D10" s="14" t="s">
        <v>54</v>
      </c>
      <c r="E10" s="14" t="s">
        <v>55</v>
      </c>
      <c r="F10" s="14"/>
      <c r="G10" s="14"/>
      <c r="H10" s="14" t="s">
        <v>56</v>
      </c>
      <c r="I10" s="14" t="s">
        <v>57</v>
      </c>
      <c r="J10" s="15">
        <v>46274</v>
      </c>
      <c r="K10" s="15"/>
      <c r="L10" s="15"/>
      <c r="M10" s="14"/>
      <c r="N10" s="14"/>
      <c r="O10" s="14"/>
      <c r="P10" s="15"/>
      <c r="Q10" s="15"/>
      <c r="R10" s="14"/>
      <c r="S10" s="14"/>
      <c r="T10" s="14"/>
    </row>
    <row r="11" ht="28.5" spans="1:20">
      <c r="A11" s="10">
        <v>10</v>
      </c>
      <c r="B11" s="16">
        <v>46282</v>
      </c>
      <c r="C11" s="10" t="s">
        <v>53</v>
      </c>
      <c r="D11" s="10"/>
      <c r="E11" s="10"/>
      <c r="F11" s="10" t="s">
        <v>58</v>
      </c>
      <c r="G11" s="10" t="s">
        <v>33</v>
      </c>
      <c r="H11" s="10" t="s">
        <v>59</v>
      </c>
      <c r="I11" s="10" t="s">
        <v>60</v>
      </c>
      <c r="J11" s="16"/>
      <c r="K11" s="16"/>
      <c r="L11" s="16"/>
      <c r="M11" s="10"/>
      <c r="N11" s="10"/>
      <c r="O11" s="10"/>
      <c r="P11" s="16" t="str">
        <f>IF(AND($L11&lt;&gt;"",$M11&lt;&gt;""),$L11+VLOOKUP($M11,'Redo Rules'!$A$2:$D$5,4,FALSE),"")</f>
        <v/>
      </c>
      <c r="Q11" s="16"/>
      <c r="R11" s="10"/>
      <c r="S11" s="10"/>
      <c r="T11" s="10"/>
    </row>
    <row r="12" ht="28.5" spans="1:20">
      <c r="A12" s="14">
        <v>11</v>
      </c>
      <c r="B12" s="15">
        <v>46283</v>
      </c>
      <c r="C12" s="14" t="s">
        <v>53</v>
      </c>
      <c r="D12" s="14"/>
      <c r="E12" s="14"/>
      <c r="F12" s="14" t="s">
        <v>61</v>
      </c>
      <c r="G12" s="14" t="s">
        <v>33</v>
      </c>
      <c r="H12" s="14" t="s">
        <v>62</v>
      </c>
      <c r="I12" s="14" t="s">
        <v>63</v>
      </c>
      <c r="J12" s="15"/>
      <c r="K12" s="15"/>
      <c r="L12" s="15"/>
      <c r="M12" s="14"/>
      <c r="N12" s="14"/>
      <c r="O12" s="14"/>
      <c r="P12" s="15" t="str">
        <f>IF(AND($L12&lt;&gt;"",$M12&lt;&gt;""),$L12+VLOOKUP($M12,'Redo Rules'!$A$2:$D$5,4,FALSE),"")</f>
        <v/>
      </c>
      <c r="Q12" s="15"/>
      <c r="R12" s="14"/>
      <c r="S12" s="14"/>
      <c r="T12" s="14"/>
    </row>
    <row r="13" ht="42.75" spans="1:20">
      <c r="A13" s="10">
        <v>12</v>
      </c>
      <c r="B13" s="16">
        <v>46284</v>
      </c>
      <c r="C13" s="10" t="s">
        <v>64</v>
      </c>
      <c r="D13" s="10" t="s">
        <v>65</v>
      </c>
      <c r="E13" s="10" t="s">
        <v>66</v>
      </c>
      <c r="F13" s="10"/>
      <c r="G13" s="10"/>
      <c r="H13" s="10" t="s">
        <v>67</v>
      </c>
      <c r="I13" s="10" t="s">
        <v>68</v>
      </c>
      <c r="J13" s="16"/>
      <c r="K13" s="16"/>
      <c r="L13" s="16"/>
      <c r="M13" s="10"/>
      <c r="N13" s="10"/>
      <c r="O13" s="10"/>
      <c r="P13" s="16"/>
      <c r="Q13" s="16"/>
      <c r="R13" s="10"/>
      <c r="S13" s="10"/>
      <c r="T13" s="10"/>
    </row>
    <row r="14" ht="57" spans="1:20">
      <c r="A14" s="14">
        <v>13</v>
      </c>
      <c r="B14" s="15">
        <v>46285</v>
      </c>
      <c r="C14" s="14" t="s">
        <v>64</v>
      </c>
      <c r="D14" s="14" t="s">
        <v>69</v>
      </c>
      <c r="E14" s="14" t="s">
        <v>70</v>
      </c>
      <c r="F14" s="14"/>
      <c r="G14" s="14"/>
      <c r="H14" s="14" t="s">
        <v>71</v>
      </c>
      <c r="I14" s="14"/>
      <c r="J14" s="15"/>
      <c r="K14" s="15"/>
      <c r="L14" s="15"/>
      <c r="M14" s="14"/>
      <c r="N14" s="14"/>
      <c r="O14" s="14"/>
      <c r="P14" s="15"/>
      <c r="Q14" s="15"/>
      <c r="R14" s="14"/>
      <c r="S14" s="14"/>
      <c r="T14" s="14"/>
    </row>
    <row r="15" ht="42.75" spans="1:20">
      <c r="A15" s="10">
        <v>14</v>
      </c>
      <c r="B15" s="16">
        <v>46286</v>
      </c>
      <c r="C15" s="10" t="s">
        <v>64</v>
      </c>
      <c r="D15" s="10"/>
      <c r="E15" s="10"/>
      <c r="F15" s="10" t="s">
        <v>72</v>
      </c>
      <c r="G15" s="10" t="s">
        <v>33</v>
      </c>
      <c r="H15" s="10" t="s">
        <v>73</v>
      </c>
      <c r="I15" s="10" t="s">
        <v>74</v>
      </c>
      <c r="J15" s="16"/>
      <c r="K15" s="16"/>
      <c r="L15" s="16"/>
      <c r="M15" s="10"/>
      <c r="N15" s="10"/>
      <c r="O15" s="10"/>
      <c r="P15" s="16" t="str">
        <f>IF(AND($L15&lt;&gt;"",$M15&lt;&gt;""),$L15+VLOOKUP($M15,'Redo Rules'!$A$2:$D$5,4,FALSE),"")</f>
        <v/>
      </c>
      <c r="Q15" s="16"/>
      <c r="R15" s="10"/>
      <c r="S15" s="10"/>
      <c r="T15" s="10"/>
    </row>
    <row r="16" ht="42.75" spans="1:20">
      <c r="A16" s="14">
        <v>15</v>
      </c>
      <c r="B16" s="15">
        <v>46287</v>
      </c>
      <c r="C16" s="14" t="s">
        <v>75</v>
      </c>
      <c r="D16" s="14" t="s">
        <v>76</v>
      </c>
      <c r="E16" s="14" t="s">
        <v>77</v>
      </c>
      <c r="F16" s="14"/>
      <c r="G16" s="14"/>
      <c r="H16" s="14" t="s">
        <v>78</v>
      </c>
      <c r="I16" s="14"/>
      <c r="J16" s="15"/>
      <c r="K16" s="15"/>
      <c r="L16" s="15"/>
      <c r="M16" s="14"/>
      <c r="N16" s="14"/>
      <c r="O16" s="14"/>
      <c r="P16" s="15"/>
      <c r="Q16" s="15"/>
      <c r="R16" s="14"/>
      <c r="S16" s="14"/>
      <c r="T16" s="14"/>
    </row>
    <row r="17" spans="1:20">
      <c r="A17" s="10">
        <v>16</v>
      </c>
      <c r="B17" s="16">
        <v>46288</v>
      </c>
      <c r="C17" s="10" t="s">
        <v>75</v>
      </c>
      <c r="D17" s="10"/>
      <c r="E17" s="10"/>
      <c r="F17" s="10" t="s">
        <v>79</v>
      </c>
      <c r="G17" s="10" t="s">
        <v>33</v>
      </c>
      <c r="H17" s="10" t="s">
        <v>80</v>
      </c>
      <c r="I17" s="10" t="s">
        <v>81</v>
      </c>
      <c r="J17" s="16"/>
      <c r="K17" s="16"/>
      <c r="L17" s="16"/>
      <c r="M17" s="10"/>
      <c r="N17" s="10"/>
      <c r="O17" s="10"/>
      <c r="P17" s="16" t="str">
        <f>IF(AND($L17&lt;&gt;"",$M17&lt;&gt;""),$L17+VLOOKUP($M17,'Redo Rules'!$A$2:$D$5,4,FALSE),"")</f>
        <v/>
      </c>
      <c r="Q17" s="16"/>
      <c r="R17" s="10"/>
      <c r="S17" s="10"/>
      <c r="T17" s="10"/>
    </row>
    <row r="18" ht="28.5" spans="1:20">
      <c r="A18" s="14">
        <v>17</v>
      </c>
      <c r="B18" s="15">
        <v>46289</v>
      </c>
      <c r="C18" s="14" t="s">
        <v>75</v>
      </c>
      <c r="D18" s="14"/>
      <c r="E18" s="14"/>
      <c r="F18" s="14" t="s">
        <v>82</v>
      </c>
      <c r="G18" s="14" t="s">
        <v>33</v>
      </c>
      <c r="H18" s="14" t="s">
        <v>80</v>
      </c>
      <c r="I18" s="14" t="s">
        <v>83</v>
      </c>
      <c r="J18" s="15"/>
      <c r="K18" s="15"/>
      <c r="L18" s="15"/>
      <c r="M18" s="14"/>
      <c r="N18" s="14"/>
      <c r="O18" s="14"/>
      <c r="P18" s="15" t="str">
        <f>IF(AND($L18&lt;&gt;"",$M18&lt;&gt;""),$L18+VLOOKUP($M18,'Redo Rules'!$A$2:$D$5,4,FALSE),"")</f>
        <v/>
      </c>
      <c r="Q18" s="15"/>
      <c r="R18" s="14"/>
      <c r="S18" s="14"/>
      <c r="T18" s="14"/>
    </row>
    <row r="19" ht="57" spans="1:20">
      <c r="A19" s="10">
        <v>18</v>
      </c>
      <c r="B19" s="16">
        <v>46290</v>
      </c>
      <c r="C19" s="10" t="s">
        <v>84</v>
      </c>
      <c r="D19" s="10" t="s">
        <v>85</v>
      </c>
      <c r="E19" s="10" t="s">
        <v>86</v>
      </c>
      <c r="F19" s="10"/>
      <c r="G19" s="10"/>
      <c r="H19" s="10" t="s">
        <v>87</v>
      </c>
      <c r="I19" s="10" t="s">
        <v>88</v>
      </c>
      <c r="J19" s="16"/>
      <c r="K19" s="16"/>
      <c r="L19" s="16"/>
      <c r="M19" s="10"/>
      <c r="N19" s="10"/>
      <c r="O19" s="10"/>
      <c r="P19" s="16"/>
      <c r="Q19" s="16"/>
      <c r="R19" s="10"/>
      <c r="S19" s="10"/>
      <c r="T19" s="10"/>
    </row>
    <row r="20" ht="28.5" spans="1:20">
      <c r="A20" s="14">
        <v>19</v>
      </c>
      <c r="B20" s="15">
        <v>46291</v>
      </c>
      <c r="C20" s="14" t="s">
        <v>84</v>
      </c>
      <c r="D20" s="14"/>
      <c r="E20" s="14"/>
      <c r="F20" s="14" t="s">
        <v>89</v>
      </c>
      <c r="G20" s="14" t="s">
        <v>90</v>
      </c>
      <c r="H20" s="14" t="s">
        <v>91</v>
      </c>
      <c r="I20" s="14" t="s">
        <v>92</v>
      </c>
      <c r="J20" s="15"/>
      <c r="K20" s="15"/>
      <c r="L20" s="15"/>
      <c r="M20" s="14"/>
      <c r="N20" s="14"/>
      <c r="O20" s="14"/>
      <c r="P20" s="15" t="str">
        <f>IF(AND($L20&lt;&gt;"",$M20&lt;&gt;""),$L20+VLOOKUP($M20,'Redo Rules'!$A$2:$D$5,4,FALSE),"")</f>
        <v/>
      </c>
      <c r="Q20" s="15"/>
      <c r="R20" s="14"/>
      <c r="S20" s="14"/>
      <c r="T20" s="14"/>
    </row>
    <row r="21" ht="42.75" spans="1:20">
      <c r="A21" s="10">
        <v>20</v>
      </c>
      <c r="B21" s="16">
        <v>46292</v>
      </c>
      <c r="C21" s="10" t="s">
        <v>84</v>
      </c>
      <c r="D21" s="10"/>
      <c r="E21" s="10"/>
      <c r="F21" s="10" t="s">
        <v>93</v>
      </c>
      <c r="G21" s="10" t="s">
        <v>94</v>
      </c>
      <c r="H21" s="10" t="s">
        <v>95</v>
      </c>
      <c r="I21" s="10" t="s">
        <v>96</v>
      </c>
      <c r="J21" s="16"/>
      <c r="K21" s="16"/>
      <c r="L21" s="16"/>
      <c r="M21" s="10"/>
      <c r="N21" s="10"/>
      <c r="O21" s="10"/>
      <c r="P21" s="16" t="str">
        <f>IF(AND($L21&lt;&gt;"",$M21&lt;&gt;""),$L21+VLOOKUP($M21,'Redo Rules'!$A$2:$D$5,4,FALSE),"")</f>
        <v/>
      </c>
      <c r="Q21" s="16"/>
      <c r="R21" s="10"/>
      <c r="S21" s="10"/>
      <c r="T21" s="10"/>
    </row>
    <row r="22" spans="1:20">
      <c r="A22" s="14">
        <v>21</v>
      </c>
      <c r="B22" s="15">
        <v>46293</v>
      </c>
      <c r="C22" s="14" t="s">
        <v>84</v>
      </c>
      <c r="D22" s="14"/>
      <c r="E22" s="14"/>
      <c r="F22" s="14" t="s">
        <v>97</v>
      </c>
      <c r="G22" s="14" t="s">
        <v>33</v>
      </c>
      <c r="H22" s="14" t="s">
        <v>98</v>
      </c>
      <c r="I22" s="14" t="s">
        <v>99</v>
      </c>
      <c r="J22" s="15"/>
      <c r="K22" s="15"/>
      <c r="L22" s="15"/>
      <c r="M22" s="14"/>
      <c r="N22" s="14"/>
      <c r="O22" s="14"/>
      <c r="P22" s="15" t="str">
        <f>IF(AND($L22&lt;&gt;"",$M22&lt;&gt;""),$L22+VLOOKUP($M22,'Redo Rules'!$A$2:$D$5,4,FALSE),"")</f>
        <v/>
      </c>
      <c r="Q22" s="15"/>
      <c r="R22" s="14"/>
      <c r="S22" s="14"/>
      <c r="T22" s="14"/>
    </row>
    <row r="23" ht="28.5" spans="1:20">
      <c r="A23" s="10">
        <v>22</v>
      </c>
      <c r="B23" s="16">
        <v>46294</v>
      </c>
      <c r="C23" s="10" t="s">
        <v>84</v>
      </c>
      <c r="D23" s="10"/>
      <c r="E23" s="10"/>
      <c r="F23" s="10" t="s">
        <v>100</v>
      </c>
      <c r="G23" s="10" t="s">
        <v>101</v>
      </c>
      <c r="H23" s="10" t="s">
        <v>102</v>
      </c>
      <c r="I23" s="10" t="s">
        <v>103</v>
      </c>
      <c r="J23" s="16"/>
      <c r="K23" s="16"/>
      <c r="L23" s="16"/>
      <c r="M23" s="10"/>
      <c r="N23" s="10"/>
      <c r="O23" s="10"/>
      <c r="P23" s="16" t="str">
        <f>IF(AND($L23&lt;&gt;"",$M23&lt;&gt;""),$L23+VLOOKUP($M23,'Redo Rules'!$A$2:$D$5,4,FALSE),"")</f>
        <v/>
      </c>
      <c r="Q23" s="16"/>
      <c r="R23" s="10"/>
      <c r="S23" s="10"/>
      <c r="T23" s="10"/>
    </row>
    <row r="24" ht="42.75" spans="1:20">
      <c r="A24" s="14">
        <v>23</v>
      </c>
      <c r="B24" s="15">
        <v>46295</v>
      </c>
      <c r="C24" s="14" t="s">
        <v>104</v>
      </c>
      <c r="D24" s="14" t="s">
        <v>105</v>
      </c>
      <c r="E24" s="14" t="s">
        <v>106</v>
      </c>
      <c r="F24" s="14"/>
      <c r="G24" s="14"/>
      <c r="H24" s="14" t="s">
        <v>107</v>
      </c>
      <c r="I24" s="14"/>
      <c r="J24" s="15"/>
      <c r="K24" s="15"/>
      <c r="L24" s="15"/>
      <c r="M24" s="14"/>
      <c r="N24" s="14"/>
      <c r="O24" s="14"/>
      <c r="P24" s="15"/>
      <c r="Q24" s="15"/>
      <c r="R24" s="14"/>
      <c r="S24" s="14"/>
      <c r="T24" s="14"/>
    </row>
    <row r="25" ht="28.5" spans="1:20">
      <c r="A25" s="10">
        <v>24</v>
      </c>
      <c r="B25" s="16">
        <v>46296</v>
      </c>
      <c r="C25" s="10" t="s">
        <v>104</v>
      </c>
      <c r="D25" s="10"/>
      <c r="E25" s="10"/>
      <c r="F25" s="10" t="s">
        <v>108</v>
      </c>
      <c r="G25" s="10" t="s">
        <v>94</v>
      </c>
      <c r="H25" s="10" t="s">
        <v>109</v>
      </c>
      <c r="I25" s="10" t="s">
        <v>110</v>
      </c>
      <c r="J25" s="16"/>
      <c r="K25" s="16"/>
      <c r="L25" s="16"/>
      <c r="M25" s="10"/>
      <c r="N25" s="10"/>
      <c r="O25" s="10"/>
      <c r="P25" s="16" t="str">
        <f>IF(AND($L25&lt;&gt;"",$M25&lt;&gt;""),$L25+VLOOKUP($M25,'Redo Rules'!$A$2:$D$5,4,FALSE),"")</f>
        <v/>
      </c>
      <c r="Q25" s="16"/>
      <c r="R25" s="10"/>
      <c r="S25" s="10"/>
      <c r="T25" s="10"/>
    </row>
    <row r="26" ht="42.75" spans="1:20">
      <c r="A26" s="14">
        <v>25</v>
      </c>
      <c r="B26" s="15">
        <v>46297</v>
      </c>
      <c r="C26" s="14" t="s">
        <v>104</v>
      </c>
      <c r="D26" s="14"/>
      <c r="E26" s="14"/>
      <c r="F26" s="14" t="s">
        <v>111</v>
      </c>
      <c r="G26" s="14" t="s">
        <v>94</v>
      </c>
      <c r="H26" s="14" t="s">
        <v>112</v>
      </c>
      <c r="I26" s="14" t="s">
        <v>113</v>
      </c>
      <c r="J26" s="15"/>
      <c r="K26" s="15"/>
      <c r="L26" s="15"/>
      <c r="M26" s="14"/>
      <c r="N26" s="14"/>
      <c r="O26" s="14"/>
      <c r="P26" s="15" t="str">
        <f>IF(AND($L26&lt;&gt;"",$M26&lt;&gt;""),$L26+VLOOKUP($M26,'Redo Rules'!$A$2:$D$5,4,FALSE),"")</f>
        <v/>
      </c>
      <c r="Q26" s="15"/>
      <c r="R26" s="14"/>
      <c r="S26" s="14"/>
      <c r="T26" s="14"/>
    </row>
    <row r="27" ht="57" spans="1:20">
      <c r="A27" s="10">
        <v>26</v>
      </c>
      <c r="B27" s="16">
        <v>46298</v>
      </c>
      <c r="C27" s="10" t="s">
        <v>114</v>
      </c>
      <c r="D27" s="10" t="s">
        <v>115</v>
      </c>
      <c r="E27" s="10" t="s">
        <v>116</v>
      </c>
      <c r="F27" s="10"/>
      <c r="G27" s="10"/>
      <c r="H27" s="10" t="s">
        <v>117</v>
      </c>
      <c r="I27" s="10"/>
      <c r="J27" s="16"/>
      <c r="K27" s="16"/>
      <c r="L27" s="16"/>
      <c r="M27" s="10"/>
      <c r="N27" s="10"/>
      <c r="O27" s="10"/>
      <c r="P27" s="16"/>
      <c r="Q27" s="16"/>
      <c r="R27" s="10"/>
      <c r="S27" s="10"/>
      <c r="T27" s="10"/>
    </row>
    <row r="28" ht="28.5" spans="1:20">
      <c r="A28" s="14">
        <v>27</v>
      </c>
      <c r="B28" s="15">
        <v>46299</v>
      </c>
      <c r="C28" s="14" t="s">
        <v>114</v>
      </c>
      <c r="D28" s="14"/>
      <c r="E28" s="14"/>
      <c r="F28" s="14" t="s">
        <v>118</v>
      </c>
      <c r="G28" s="14" t="s">
        <v>46</v>
      </c>
      <c r="H28" s="14" t="s">
        <v>119</v>
      </c>
      <c r="I28" s="14" t="s">
        <v>120</v>
      </c>
      <c r="J28" s="15"/>
      <c r="K28" s="15"/>
      <c r="L28" s="15"/>
      <c r="M28" s="14"/>
      <c r="N28" s="14"/>
      <c r="O28" s="14"/>
      <c r="P28" s="15" t="str">
        <f>IF(AND($L28&lt;&gt;"",$M28&lt;&gt;""),$L28+VLOOKUP($M28,'Redo Rules'!$A$2:$D$5,4,FALSE),"")</f>
        <v/>
      </c>
      <c r="Q28" s="15"/>
      <c r="R28" s="14"/>
      <c r="S28" s="14"/>
      <c r="T28" s="14"/>
    </row>
    <row r="29" ht="57" spans="1:20">
      <c r="A29" s="10">
        <v>28</v>
      </c>
      <c r="B29" s="16">
        <v>46300</v>
      </c>
      <c r="C29" s="10" t="s">
        <v>114</v>
      </c>
      <c r="D29" s="10"/>
      <c r="E29" s="10"/>
      <c r="F29" s="10" t="s">
        <v>121</v>
      </c>
      <c r="G29" s="10" t="s">
        <v>94</v>
      </c>
      <c r="H29" s="10" t="s">
        <v>122</v>
      </c>
      <c r="I29" s="10" t="s">
        <v>123</v>
      </c>
      <c r="J29" s="16"/>
      <c r="K29" s="16"/>
      <c r="L29" s="16"/>
      <c r="M29" s="10"/>
      <c r="N29" s="10"/>
      <c r="O29" s="10"/>
      <c r="P29" s="16" t="str">
        <f>IF(AND($L29&lt;&gt;"",$M29&lt;&gt;""),$L29+VLOOKUP($M29,'Redo Rules'!$A$2:$D$5,4,FALSE),"")</f>
        <v/>
      </c>
      <c r="Q29" s="16"/>
      <c r="R29" s="10"/>
      <c r="S29" s="10"/>
      <c r="T29" s="10"/>
    </row>
    <row r="30" ht="42.75" spans="1:20">
      <c r="A30" s="14">
        <v>29</v>
      </c>
      <c r="B30" s="15">
        <v>46301</v>
      </c>
      <c r="C30" s="14" t="s">
        <v>124</v>
      </c>
      <c r="D30" s="14" t="s">
        <v>125</v>
      </c>
      <c r="E30" s="14" t="s">
        <v>126</v>
      </c>
      <c r="F30" s="14"/>
      <c r="G30" s="14"/>
      <c r="H30" s="14" t="s">
        <v>127</v>
      </c>
      <c r="I30" s="14" t="s">
        <v>128</v>
      </c>
      <c r="J30" s="15"/>
      <c r="K30" s="15"/>
      <c r="L30" s="15"/>
      <c r="M30" s="14"/>
      <c r="N30" s="14"/>
      <c r="O30" s="14"/>
      <c r="P30" s="15"/>
      <c r="Q30" s="15"/>
      <c r="R30" s="14"/>
      <c r="S30" s="14"/>
      <c r="T30" s="14"/>
    </row>
    <row r="31" ht="42.75" spans="1:20">
      <c r="A31" s="10">
        <v>30</v>
      </c>
      <c r="B31" s="16">
        <v>46302</v>
      </c>
      <c r="C31" s="10" t="s">
        <v>129</v>
      </c>
      <c r="D31" s="10"/>
      <c r="E31" s="10" t="s">
        <v>130</v>
      </c>
      <c r="F31" s="10"/>
      <c r="G31" s="10"/>
      <c r="H31" s="10" t="s">
        <v>131</v>
      </c>
      <c r="I31" s="10" t="s">
        <v>132</v>
      </c>
      <c r="J31" s="16"/>
      <c r="K31" s="16"/>
      <c r="L31" s="16"/>
      <c r="M31" s="10"/>
      <c r="N31" s="10"/>
      <c r="O31" s="10"/>
      <c r="P31" s="16"/>
      <c r="Q31" s="16"/>
      <c r="R31" s="10"/>
      <c r="S31" s="10"/>
      <c r="T31" s="10"/>
    </row>
    <row r="32" ht="57" spans="1:20">
      <c r="A32" s="14">
        <v>31</v>
      </c>
      <c r="B32" s="15">
        <v>46303</v>
      </c>
      <c r="C32" s="14" t="s">
        <v>133</v>
      </c>
      <c r="D32" s="14" t="s">
        <v>134</v>
      </c>
      <c r="E32" s="14" t="s">
        <v>135</v>
      </c>
      <c r="F32" s="14"/>
      <c r="G32" s="14"/>
      <c r="H32" s="14" t="s">
        <v>136</v>
      </c>
      <c r="I32" s="14" t="s">
        <v>137</v>
      </c>
      <c r="J32" s="15"/>
      <c r="K32" s="15"/>
      <c r="L32" s="15"/>
      <c r="M32" s="14"/>
      <c r="N32" s="14"/>
      <c r="O32" s="14"/>
      <c r="P32" s="15"/>
      <c r="Q32" s="15"/>
      <c r="R32" s="14"/>
      <c r="S32" s="14"/>
      <c r="T32" s="14"/>
    </row>
    <row r="33" ht="28.5" spans="1:20">
      <c r="A33" s="10">
        <v>32</v>
      </c>
      <c r="B33" s="16">
        <v>46304</v>
      </c>
      <c r="C33" s="10" t="s">
        <v>133</v>
      </c>
      <c r="D33" s="10"/>
      <c r="E33" s="10"/>
      <c r="F33" s="10" t="s">
        <v>138</v>
      </c>
      <c r="G33" s="10" t="s">
        <v>139</v>
      </c>
      <c r="H33" s="10" t="s">
        <v>133</v>
      </c>
      <c r="I33" s="10" t="s">
        <v>140</v>
      </c>
      <c r="J33" s="16"/>
      <c r="K33" s="16"/>
      <c r="L33" s="16"/>
      <c r="M33" s="10"/>
      <c r="N33" s="10"/>
      <c r="O33" s="10"/>
      <c r="P33" s="16" t="str">
        <f>IF(AND($L33&lt;&gt;"",$M33&lt;&gt;""),$L33+VLOOKUP($M33,'Redo Rules'!$A$2:$D$5,4,FALSE),"")</f>
        <v/>
      </c>
      <c r="Q33" s="16"/>
      <c r="R33" s="10"/>
      <c r="S33" s="10"/>
      <c r="T33" s="10"/>
    </row>
    <row r="34" ht="28.5" spans="1:20">
      <c r="A34" s="14">
        <v>33</v>
      </c>
      <c r="B34" s="15">
        <v>46305</v>
      </c>
      <c r="C34" s="14" t="s">
        <v>133</v>
      </c>
      <c r="D34" s="14"/>
      <c r="E34" s="14"/>
      <c r="F34" s="14" t="s">
        <v>141</v>
      </c>
      <c r="G34" s="14" t="s">
        <v>33</v>
      </c>
      <c r="H34" s="14" t="s">
        <v>142</v>
      </c>
      <c r="I34" s="14" t="s">
        <v>143</v>
      </c>
      <c r="J34" s="15"/>
      <c r="K34" s="15"/>
      <c r="L34" s="15"/>
      <c r="M34" s="14"/>
      <c r="N34" s="14"/>
      <c r="O34" s="14"/>
      <c r="P34" s="15" t="str">
        <f>IF(AND($L34&lt;&gt;"",$M34&lt;&gt;""),$L34+VLOOKUP($M34,'Redo Rules'!$A$2:$D$5,4,FALSE),"")</f>
        <v/>
      </c>
      <c r="Q34" s="15"/>
      <c r="R34" s="14"/>
      <c r="S34" s="14"/>
      <c r="T34" s="14"/>
    </row>
    <row r="35" ht="71.25" spans="1:20">
      <c r="A35" s="10">
        <v>34</v>
      </c>
      <c r="B35" s="16">
        <v>46306</v>
      </c>
      <c r="C35" s="10" t="s">
        <v>144</v>
      </c>
      <c r="D35" s="10" t="s">
        <v>145</v>
      </c>
      <c r="E35" s="10" t="s">
        <v>146</v>
      </c>
      <c r="F35" s="10"/>
      <c r="G35" s="10"/>
      <c r="H35" s="10" t="s">
        <v>147</v>
      </c>
      <c r="I35" s="10"/>
      <c r="J35" s="16"/>
      <c r="K35" s="16"/>
      <c r="L35" s="16"/>
      <c r="M35" s="10"/>
      <c r="N35" s="10"/>
      <c r="O35" s="10"/>
      <c r="P35" s="16"/>
      <c r="Q35" s="16"/>
      <c r="R35" s="10"/>
      <c r="S35" s="10"/>
      <c r="T35" s="10"/>
    </row>
    <row r="36" spans="1:20">
      <c r="A36" s="14">
        <v>35</v>
      </c>
      <c r="B36" s="15">
        <v>46307</v>
      </c>
      <c r="C36" s="14" t="s">
        <v>144</v>
      </c>
      <c r="D36" s="14"/>
      <c r="E36" s="14"/>
      <c r="F36" s="14" t="s">
        <v>148</v>
      </c>
      <c r="G36" s="14" t="s">
        <v>33</v>
      </c>
      <c r="H36" s="14" t="s">
        <v>144</v>
      </c>
      <c r="I36" s="14" t="s">
        <v>149</v>
      </c>
      <c r="J36" s="15"/>
      <c r="K36" s="15"/>
      <c r="L36" s="15"/>
      <c r="M36" s="14"/>
      <c r="N36" s="14"/>
      <c r="O36" s="14"/>
      <c r="P36" s="15" t="str">
        <f>IF(AND($L36&lt;&gt;"",$M36&lt;&gt;""),$L36+VLOOKUP($M36,'Redo Rules'!$A$2:$D$5,4,FALSE),"")</f>
        <v/>
      </c>
      <c r="Q36" s="15"/>
      <c r="R36" s="14"/>
      <c r="S36" s="14"/>
      <c r="T36" s="14"/>
    </row>
    <row r="37" spans="1:20">
      <c r="A37" s="10">
        <v>36</v>
      </c>
      <c r="B37" s="16">
        <v>46308</v>
      </c>
      <c r="C37" s="10" t="s">
        <v>144</v>
      </c>
      <c r="D37" s="10"/>
      <c r="E37" s="10"/>
      <c r="F37" s="10" t="s">
        <v>150</v>
      </c>
      <c r="G37" s="10" t="s">
        <v>33</v>
      </c>
      <c r="H37" s="10" t="s">
        <v>144</v>
      </c>
      <c r="I37" s="10" t="s">
        <v>151</v>
      </c>
      <c r="J37" s="16"/>
      <c r="K37" s="16"/>
      <c r="L37" s="16"/>
      <c r="M37" s="10"/>
      <c r="N37" s="10"/>
      <c r="O37" s="10"/>
      <c r="P37" s="16" t="str">
        <f>IF(AND($L37&lt;&gt;"",$M37&lt;&gt;""),$L37+VLOOKUP($M37,'Redo Rules'!$A$2:$D$5,4,FALSE),"")</f>
        <v/>
      </c>
      <c r="Q37" s="16"/>
      <c r="R37" s="10"/>
      <c r="S37" s="10"/>
      <c r="T37" s="10"/>
    </row>
    <row r="38" ht="28.5" spans="1:20">
      <c r="A38" s="14">
        <v>37</v>
      </c>
      <c r="B38" s="15">
        <v>46309</v>
      </c>
      <c r="C38" s="14" t="s">
        <v>144</v>
      </c>
      <c r="D38" s="14"/>
      <c r="E38" s="14"/>
      <c r="F38" s="14" t="s">
        <v>152</v>
      </c>
      <c r="G38" s="14" t="s">
        <v>101</v>
      </c>
      <c r="H38" s="14" t="s">
        <v>153</v>
      </c>
      <c r="I38" s="14" t="s">
        <v>154</v>
      </c>
      <c r="J38" s="15"/>
      <c r="K38" s="15"/>
      <c r="L38" s="15"/>
      <c r="M38" s="14"/>
      <c r="N38" s="14"/>
      <c r="O38" s="14"/>
      <c r="P38" s="15" t="str">
        <f>IF(AND($L38&lt;&gt;"",$M38&lt;&gt;""),$L38+VLOOKUP($M38,'Redo Rules'!$A$2:$D$5,4,FALSE),"")</f>
        <v/>
      </c>
      <c r="Q38" s="15"/>
      <c r="R38" s="14"/>
      <c r="S38" s="14"/>
      <c r="T38" s="14"/>
    </row>
    <row r="39" ht="57" spans="1:20">
      <c r="A39" s="10">
        <v>38</v>
      </c>
      <c r="B39" s="16">
        <v>46310</v>
      </c>
      <c r="C39" s="10" t="s">
        <v>144</v>
      </c>
      <c r="D39" s="10"/>
      <c r="E39" s="10"/>
      <c r="F39" s="10" t="s">
        <v>155</v>
      </c>
      <c r="G39" s="10" t="s">
        <v>156</v>
      </c>
      <c r="H39" s="10" t="s">
        <v>157</v>
      </c>
      <c r="I39" s="10" t="s">
        <v>158</v>
      </c>
      <c r="J39" s="16"/>
      <c r="K39" s="16"/>
      <c r="L39" s="16"/>
      <c r="M39" s="10"/>
      <c r="N39" s="10"/>
      <c r="O39" s="10"/>
      <c r="P39" s="16" t="str">
        <f>IF(AND($L39&lt;&gt;"",$M39&lt;&gt;""),$L39+VLOOKUP($M39,'Redo Rules'!$A$2:$D$5,4,FALSE),"")</f>
        <v/>
      </c>
      <c r="Q39" s="16"/>
      <c r="R39" s="10"/>
      <c r="S39" s="10"/>
      <c r="T39" s="10"/>
    </row>
    <row r="40" ht="57" spans="1:20">
      <c r="A40" s="14">
        <v>39</v>
      </c>
      <c r="B40" s="15">
        <v>46311</v>
      </c>
      <c r="C40" s="14" t="s">
        <v>159</v>
      </c>
      <c r="D40" s="14"/>
      <c r="E40" s="14" t="s">
        <v>160</v>
      </c>
      <c r="F40" s="14"/>
      <c r="G40" s="14"/>
      <c r="H40" s="14" t="s">
        <v>161</v>
      </c>
      <c r="I40" s="14" t="s">
        <v>162</v>
      </c>
      <c r="J40" s="15"/>
      <c r="K40" s="15"/>
      <c r="L40" s="15"/>
      <c r="M40" s="14"/>
      <c r="N40" s="14"/>
      <c r="O40" s="14"/>
      <c r="P40" s="15"/>
      <c r="Q40" s="15"/>
      <c r="R40" s="14"/>
      <c r="S40" s="14"/>
      <c r="T40" s="14"/>
    </row>
    <row r="41" ht="57" spans="1:20">
      <c r="A41" s="10">
        <v>40</v>
      </c>
      <c r="B41" s="16">
        <v>46312</v>
      </c>
      <c r="C41" s="10" t="s">
        <v>163</v>
      </c>
      <c r="D41" s="10" t="s">
        <v>164</v>
      </c>
      <c r="E41" s="10" t="s">
        <v>165</v>
      </c>
      <c r="F41" s="10"/>
      <c r="G41" s="10"/>
      <c r="H41" s="10" t="s">
        <v>166</v>
      </c>
      <c r="I41" s="10" t="s">
        <v>167</v>
      </c>
      <c r="J41" s="16"/>
      <c r="K41" s="16"/>
      <c r="L41" s="16"/>
      <c r="M41" s="10"/>
      <c r="N41" s="10"/>
      <c r="O41" s="10"/>
      <c r="P41" s="16"/>
      <c r="Q41" s="16"/>
      <c r="R41" s="10"/>
      <c r="S41" s="10"/>
      <c r="T41" s="10"/>
    </row>
    <row r="42" ht="42.75" spans="1:20">
      <c r="A42" s="14">
        <v>41</v>
      </c>
      <c r="B42" s="15">
        <v>46313</v>
      </c>
      <c r="C42" s="14" t="s">
        <v>168</v>
      </c>
      <c r="D42" s="14" t="s">
        <v>169</v>
      </c>
      <c r="E42" s="14"/>
      <c r="F42" s="14"/>
      <c r="G42" s="14"/>
      <c r="H42" s="14" t="s">
        <v>170</v>
      </c>
      <c r="I42" s="14" t="s">
        <v>171</v>
      </c>
      <c r="J42" s="15"/>
      <c r="K42" s="15"/>
      <c r="L42" s="15"/>
      <c r="M42" s="14"/>
      <c r="N42" s="14"/>
      <c r="O42" s="14"/>
      <c r="P42" s="15"/>
      <c r="Q42" s="15"/>
      <c r="R42" s="14"/>
      <c r="S42" s="14"/>
      <c r="T42" s="14"/>
    </row>
    <row r="43" ht="28.5" spans="1:20">
      <c r="A43" s="10">
        <v>42</v>
      </c>
      <c r="B43" s="16">
        <v>46314</v>
      </c>
      <c r="C43" s="10" t="s">
        <v>172</v>
      </c>
      <c r="D43" s="10" t="s">
        <v>173</v>
      </c>
      <c r="E43" s="10"/>
      <c r="F43" s="10"/>
      <c r="G43" s="10"/>
      <c r="H43" s="10" t="s">
        <v>174</v>
      </c>
      <c r="I43" s="10" t="s">
        <v>175</v>
      </c>
      <c r="J43" s="16"/>
      <c r="K43" s="16"/>
      <c r="L43" s="16"/>
      <c r="M43" s="10"/>
      <c r="N43" s="10"/>
      <c r="O43" s="10"/>
      <c r="P43" s="16"/>
      <c r="Q43" s="16"/>
      <c r="R43" s="10"/>
      <c r="S43" s="10"/>
      <c r="T43" s="10"/>
    </row>
  </sheetData>
  <conditionalFormatting sqref="P2:P43">
    <cfRule type="expression" dxfId="0" priority="1">
      <formula>AND(P2&lt;&gt;"",P2&lt;=TODAY(),Q2="")</formula>
    </cfRule>
  </conditionalFormatting>
  <dataValidations count="4">
    <dataValidation type="list" sqref="R2:R43">
      <formula1>"Independent,Still Spark,Still Skeleton,Needs Hint,Parked"</formula1>
    </dataValidation>
    <dataValidation type="list" sqref="O2:O43">
      <formula1>"Yes,No,N/A"</formula1>
    </dataValidation>
    <dataValidation type="list" sqref="M2:M43">
      <formula1>"Totally ignorance,Spark,Skeleton,Crack it"</formula1>
    </dataValidation>
    <dataValidation type="list" sqref="S2:S43">
      <formula1>"Yes,No,Not requested"</formula1>
    </dataValidation>
  </dataValidation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3"/>
  <sheetViews>
    <sheetView workbookViewId="0">
      <selection activeCell="A1" sqref="A1:F1"/>
    </sheetView>
  </sheetViews>
  <sheetFormatPr defaultColWidth="9" defaultRowHeight="14.25" outlineLevelCol="5"/>
  <cols>
    <col min="1" max="1" width="22" customWidth="1"/>
    <col min="2" max="2" width="24" customWidth="1"/>
    <col min="3" max="3" width="40" customWidth="1"/>
    <col min="4" max="4" width="20" customWidth="1"/>
    <col min="5" max="5" width="22" customWidth="1"/>
    <col min="6" max="6" width="36" customWidth="1"/>
  </cols>
  <sheetData>
    <row r="1" ht="18" spans="1:6">
      <c r="A1" s="8" t="s">
        <v>176</v>
      </c>
      <c r="B1" s="8"/>
      <c r="C1" s="8"/>
      <c r="D1" s="8"/>
      <c r="E1" s="8"/>
      <c r="F1" s="8"/>
    </row>
    <row r="2" spans="1:6">
      <c r="A2" s="9" t="s">
        <v>177</v>
      </c>
      <c r="B2" s="9"/>
      <c r="C2" s="9"/>
      <c r="D2" s="9"/>
      <c r="E2" s="9"/>
      <c r="F2" s="9"/>
    </row>
    <row r="3" spans="1:6">
      <c r="A3" s="10"/>
      <c r="B3" s="10"/>
      <c r="C3" s="10"/>
      <c r="D3" s="10"/>
      <c r="E3" s="10"/>
      <c r="F3" s="10"/>
    </row>
    <row r="4" ht="15" spans="1:6">
      <c r="A4" s="11" t="s">
        <v>178</v>
      </c>
      <c r="B4" s="11" t="s">
        <v>179</v>
      </c>
      <c r="C4" s="10"/>
      <c r="D4" s="11" t="s">
        <v>180</v>
      </c>
      <c r="E4" s="11" t="s">
        <v>181</v>
      </c>
      <c r="F4" s="11" t="s">
        <v>182</v>
      </c>
    </row>
    <row r="5" spans="1:6">
      <c r="A5" s="10" t="s">
        <v>183</v>
      </c>
      <c r="B5" s="12">
        <f>COUNTIF('Exercise Map'!F4:F39,"Yes")</f>
        <v>26</v>
      </c>
      <c r="C5" s="10"/>
      <c r="D5" s="10" t="s">
        <v>43</v>
      </c>
      <c r="E5" s="10" t="s">
        <v>184</v>
      </c>
      <c r="F5" s="10" t="s">
        <v>185</v>
      </c>
    </row>
    <row r="6" ht="28.5" spans="1:6">
      <c r="A6" s="10" t="s">
        <v>186</v>
      </c>
      <c r="B6" s="12">
        <f>COUNTIF('Exercise Map'!F4:F39,"No")</f>
        <v>10</v>
      </c>
      <c r="C6" s="10"/>
      <c r="D6" s="10" t="s">
        <v>187</v>
      </c>
      <c r="E6" s="10" t="s">
        <v>188</v>
      </c>
      <c r="F6" s="10" t="s">
        <v>189</v>
      </c>
    </row>
    <row r="7" ht="28.5" spans="1:6">
      <c r="A7" s="10" t="s">
        <v>190</v>
      </c>
      <c r="B7" s="12">
        <f>COUNT('Master Schedule'!L2:L43)</f>
        <v>6</v>
      </c>
      <c r="C7" s="10"/>
      <c r="D7" s="10" t="s">
        <v>21</v>
      </c>
      <c r="E7" s="10" t="s">
        <v>191</v>
      </c>
      <c r="F7" s="10" t="s">
        <v>192</v>
      </c>
    </row>
    <row r="8" spans="1:6">
      <c r="A8" s="10" t="s">
        <v>193</v>
      </c>
      <c r="B8" s="12">
        <f ca="1">COUNTIFS('Master Schedule'!P2:P43,"&lt;="&amp;TODAY(),'Master Schedule'!P2:P43,"&gt;0",'Master Schedule'!Q2:Q43,"")</f>
        <v>4</v>
      </c>
      <c r="C8" s="10"/>
      <c r="D8" s="10" t="s">
        <v>32</v>
      </c>
      <c r="E8" s="10" t="s">
        <v>194</v>
      </c>
      <c r="F8" s="10" t="s">
        <v>195</v>
      </c>
    </row>
    <row r="9" ht="28.5" spans="1:6">
      <c r="A9" s="10" t="s">
        <v>196</v>
      </c>
      <c r="B9" s="12">
        <f>COUNT('Section Plan'!J4:J14)</f>
        <v>0</v>
      </c>
      <c r="C9" s="10"/>
      <c r="D9" s="10" t="s">
        <v>197</v>
      </c>
      <c r="E9" s="10" t="s">
        <v>27</v>
      </c>
      <c r="F9" s="10" t="s">
        <v>198</v>
      </c>
    </row>
    <row r="10" spans="1:6">
      <c r="A10" s="10"/>
      <c r="B10" s="10"/>
      <c r="C10" s="10"/>
      <c r="D10" s="10"/>
      <c r="E10" s="10"/>
      <c r="F10" s="10"/>
    </row>
    <row r="11" spans="1:6">
      <c r="A11" s="10"/>
      <c r="B11" s="10"/>
      <c r="C11" s="10"/>
      <c r="D11" s="10"/>
      <c r="E11" s="10"/>
      <c r="F11" s="10"/>
    </row>
    <row r="12" ht="15" spans="1:6">
      <c r="A12" s="13" t="s">
        <v>199</v>
      </c>
      <c r="B12" s="13"/>
      <c r="C12" s="13"/>
      <c r="D12" s="13"/>
      <c r="E12" s="13"/>
      <c r="F12" s="13"/>
    </row>
    <row r="13" ht="28.5" spans="1:6">
      <c r="A13" s="10" t="s">
        <v>200</v>
      </c>
      <c r="B13" s="10" t="s">
        <v>201</v>
      </c>
      <c r="C13" s="10" t="s">
        <v>202</v>
      </c>
      <c r="D13" s="10"/>
      <c r="E13" s="10"/>
      <c r="F13" s="10"/>
    </row>
    <row r="14" ht="28.5" spans="1:6">
      <c r="A14" s="10" t="s">
        <v>203</v>
      </c>
      <c r="B14" s="10" t="s">
        <v>204</v>
      </c>
      <c r="C14" s="10" t="s">
        <v>205</v>
      </c>
      <c r="D14" s="10"/>
      <c r="E14" s="10"/>
      <c r="F14" s="10"/>
    </row>
    <row r="15" spans="1:6">
      <c r="A15" s="10" t="s">
        <v>206</v>
      </c>
      <c r="B15" s="10" t="s">
        <v>207</v>
      </c>
      <c r="C15" s="10" t="s">
        <v>208</v>
      </c>
      <c r="D15" s="10"/>
      <c r="E15" s="10"/>
      <c r="F15" s="10"/>
    </row>
    <row r="16" ht="28.5" spans="1:6">
      <c r="A16" s="10" t="s">
        <v>209</v>
      </c>
      <c r="B16" s="10" t="s">
        <v>210</v>
      </c>
      <c r="C16" s="10" t="s">
        <v>211</v>
      </c>
      <c r="D16" s="10"/>
      <c r="E16" s="10"/>
      <c r="F16" s="10"/>
    </row>
    <row r="17" spans="1:6">
      <c r="A17" s="10" t="s">
        <v>212</v>
      </c>
      <c r="B17" s="10" t="s">
        <v>213</v>
      </c>
      <c r="C17" s="10" t="s">
        <v>214</v>
      </c>
      <c r="D17" s="10"/>
      <c r="E17" s="10"/>
      <c r="F17" s="10"/>
    </row>
    <row r="18" ht="28.5" spans="1:6">
      <c r="A18" s="10" t="s">
        <v>215</v>
      </c>
      <c r="B18" s="10" t="s">
        <v>216</v>
      </c>
      <c r="C18" s="10" t="s">
        <v>217</v>
      </c>
      <c r="D18" s="10"/>
      <c r="E18" s="10"/>
      <c r="F18" s="10"/>
    </row>
    <row r="19" spans="1:6">
      <c r="A19" s="10"/>
      <c r="B19" s="10"/>
      <c r="C19" s="10"/>
      <c r="D19" s="10"/>
      <c r="E19" s="10"/>
      <c r="F19" s="10"/>
    </row>
    <row r="20" ht="15" spans="1:6">
      <c r="A20" s="13" t="s">
        <v>218</v>
      </c>
      <c r="B20" s="13"/>
      <c r="C20" s="13"/>
      <c r="D20" s="13"/>
      <c r="E20" s="13"/>
      <c r="F20" s="13"/>
    </row>
    <row r="21" ht="28.5" spans="1:6">
      <c r="A21" s="10" t="s">
        <v>32</v>
      </c>
      <c r="B21" s="10" t="s">
        <v>219</v>
      </c>
      <c r="C21" s="10" t="s">
        <v>220</v>
      </c>
      <c r="D21" s="10"/>
      <c r="E21" s="10"/>
      <c r="F21" s="10"/>
    </row>
    <row r="22" ht="28.5" spans="1:6">
      <c r="A22" s="10" t="s">
        <v>121</v>
      </c>
      <c r="B22" s="10" t="s">
        <v>221</v>
      </c>
      <c r="C22" s="10" t="s">
        <v>222</v>
      </c>
      <c r="D22" s="10"/>
      <c r="E22" s="10"/>
      <c r="F22" s="10"/>
    </row>
    <row r="23" ht="28.5" spans="1:6">
      <c r="A23" s="10" t="s">
        <v>155</v>
      </c>
      <c r="B23" s="10" t="s">
        <v>223</v>
      </c>
      <c r="C23" s="10" t="s">
        <v>224</v>
      </c>
      <c r="D23" s="10"/>
      <c r="E23" s="10"/>
      <c r="F23" s="10"/>
    </row>
  </sheetData>
  <mergeCells count="4">
    <mergeCell ref="A1:F1"/>
    <mergeCell ref="A2:F2"/>
    <mergeCell ref="A12:F12"/>
    <mergeCell ref="A20:F20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7"/>
  <sheetViews>
    <sheetView workbookViewId="0">
      <selection activeCell="A1" sqref="A1"/>
    </sheetView>
  </sheetViews>
  <sheetFormatPr defaultColWidth="9" defaultRowHeight="14.25" outlineLevelCol="3"/>
  <cols>
    <col min="1" max="1" width="24" customWidth="1"/>
    <col min="2" max="2" width="34" customWidth="1"/>
    <col min="3" max="3" width="64" customWidth="1"/>
    <col min="4" max="4" width="18" customWidth="1"/>
  </cols>
  <sheetData>
    <row r="1" ht="15" spans="1:4">
      <c r="A1" s="3" t="s">
        <v>225</v>
      </c>
      <c r="B1" s="3" t="s">
        <v>226</v>
      </c>
      <c r="C1" s="3" t="s">
        <v>227</v>
      </c>
      <c r="D1" s="3" t="s">
        <v>228</v>
      </c>
    </row>
    <row r="2" ht="28.5" spans="1:4">
      <c r="A2" s="4" t="s">
        <v>229</v>
      </c>
      <c r="B2" s="4" t="s">
        <v>230</v>
      </c>
      <c r="C2" s="4" t="s">
        <v>231</v>
      </c>
      <c r="D2" s="4">
        <v>1</v>
      </c>
    </row>
    <row r="3" ht="28.5" spans="1:4">
      <c r="A3" s="6" t="s">
        <v>232</v>
      </c>
      <c r="B3" s="6" t="s">
        <v>233</v>
      </c>
      <c r="C3" s="6" t="s">
        <v>234</v>
      </c>
      <c r="D3" s="6">
        <v>2</v>
      </c>
    </row>
    <row r="4" ht="28.5" spans="1:4">
      <c r="A4" s="4" t="s">
        <v>25</v>
      </c>
      <c r="B4" s="4" t="s">
        <v>235</v>
      </c>
      <c r="C4" s="4" t="s">
        <v>236</v>
      </c>
      <c r="D4" s="4">
        <v>2</v>
      </c>
    </row>
    <row r="5" ht="28.5" spans="1:4">
      <c r="A5" s="6" t="s">
        <v>40</v>
      </c>
      <c r="B5" s="6" t="s">
        <v>237</v>
      </c>
      <c r="C5" s="6" t="s">
        <v>238</v>
      </c>
      <c r="D5" s="6">
        <v>2</v>
      </c>
    </row>
    <row r="6" spans="1:4">
      <c r="A6" s="4"/>
      <c r="B6" s="4"/>
      <c r="C6" s="4"/>
      <c r="D6" s="4"/>
    </row>
    <row r="7" ht="15" spans="1:4">
      <c r="A7" s="3" t="s">
        <v>239</v>
      </c>
      <c r="B7" s="3" t="s">
        <v>226</v>
      </c>
      <c r="C7" s="3" t="s">
        <v>240</v>
      </c>
      <c r="D7" s="3"/>
    </row>
    <row r="8" spans="1:4">
      <c r="A8" s="4" t="s">
        <v>241</v>
      </c>
      <c r="B8" s="4" t="s">
        <v>242</v>
      </c>
      <c r="C8" s="4" t="s">
        <v>243</v>
      </c>
      <c r="D8" s="4"/>
    </row>
    <row r="9" ht="42.75" spans="1:4">
      <c r="A9" s="6" t="s">
        <v>244</v>
      </c>
      <c r="B9" s="6" t="s">
        <v>245</v>
      </c>
      <c r="C9" s="6" t="s">
        <v>246</v>
      </c>
      <c r="D9" s="6"/>
    </row>
    <row r="10" ht="28.5" spans="1:4">
      <c r="A10" s="4" t="s">
        <v>247</v>
      </c>
      <c r="B10" s="4" t="s">
        <v>248</v>
      </c>
      <c r="C10" s="4" t="s">
        <v>249</v>
      </c>
      <c r="D10" s="4"/>
    </row>
    <row r="11" ht="28.5" spans="1:4">
      <c r="A11" s="6" t="s">
        <v>250</v>
      </c>
      <c r="B11" s="6" t="s">
        <v>251</v>
      </c>
      <c r="C11" s="6" t="s">
        <v>252</v>
      </c>
      <c r="D11" s="6"/>
    </row>
    <row r="12" ht="28.5" spans="1:4">
      <c r="A12" s="4" t="s">
        <v>253</v>
      </c>
      <c r="B12" s="4" t="s">
        <v>254</v>
      </c>
      <c r="C12" s="4" t="s">
        <v>255</v>
      </c>
      <c r="D12" s="4"/>
    </row>
    <row r="13" ht="28.5" spans="1:4">
      <c r="A13" s="6" t="s">
        <v>256</v>
      </c>
      <c r="B13" s="6" t="s">
        <v>257</v>
      </c>
      <c r="C13" s="6" t="s">
        <v>258</v>
      </c>
      <c r="D13" s="6"/>
    </row>
    <row r="14" ht="28.5" spans="1:4">
      <c r="A14" s="4" t="s">
        <v>259</v>
      </c>
      <c r="B14" s="4" t="s">
        <v>260</v>
      </c>
      <c r="C14" s="4" t="s">
        <v>261</v>
      </c>
      <c r="D14" s="4"/>
    </row>
    <row r="15" ht="28.5" spans="1:4">
      <c r="A15" s="6" t="s">
        <v>262</v>
      </c>
      <c r="B15" s="6" t="s">
        <v>263</v>
      </c>
      <c r="C15" s="6" t="s">
        <v>264</v>
      </c>
      <c r="D15" s="6"/>
    </row>
    <row r="16" ht="28.5" spans="1:4">
      <c r="A16" s="4" t="s">
        <v>265</v>
      </c>
      <c r="B16" s="4" t="s">
        <v>266</v>
      </c>
      <c r="C16" s="4" t="s">
        <v>267</v>
      </c>
      <c r="D16" s="4"/>
    </row>
    <row r="17" ht="28.5" spans="1:4">
      <c r="A17" s="6" t="s">
        <v>268</v>
      </c>
      <c r="B17" s="6" t="s">
        <v>269</v>
      </c>
      <c r="C17" s="6" t="s">
        <v>270</v>
      </c>
      <c r="D17" s="6"/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9"/>
  <sheetViews>
    <sheetView workbookViewId="0">
      <selection activeCell="A1" sqref="A1:I1"/>
    </sheetView>
  </sheetViews>
  <sheetFormatPr defaultColWidth="9" defaultRowHeight="14.25"/>
  <cols>
    <col min="1" max="1" width="10" customWidth="1"/>
    <col min="2" max="2" width="24" customWidth="1"/>
    <col min="3" max="3" width="28" customWidth="1"/>
    <col min="4" max="4" width="22" customWidth="1"/>
    <col min="5" max="5" width="18" customWidth="1"/>
    <col min="6" max="6" width="16" customWidth="1"/>
    <col min="7" max="7" width="32" customWidth="1"/>
    <col min="8" max="8" width="14" customWidth="1"/>
    <col min="9" max="9" width="46" customWidth="1"/>
  </cols>
  <sheetData>
    <row r="1" ht="18" spans="1:9">
      <c r="A1" s="1" t="s">
        <v>271</v>
      </c>
      <c r="B1" s="1"/>
      <c r="C1" s="1"/>
      <c r="D1" s="1"/>
      <c r="E1" s="1"/>
      <c r="F1" s="1"/>
      <c r="G1" s="1"/>
      <c r="H1" s="1"/>
      <c r="I1" s="1"/>
    </row>
    <row r="2" spans="1:9">
      <c r="A2" s="2" t="s">
        <v>272</v>
      </c>
      <c r="B2" s="2"/>
      <c r="C2" s="2"/>
      <c r="D2" s="2"/>
      <c r="E2" s="2"/>
      <c r="F2" s="2"/>
      <c r="G2" s="2"/>
      <c r="H2" s="2"/>
      <c r="I2" s="2"/>
    </row>
    <row r="3" ht="30" spans="1:9">
      <c r="A3" s="3" t="s">
        <v>273</v>
      </c>
      <c r="B3" s="3" t="s">
        <v>274</v>
      </c>
      <c r="C3" s="3" t="s">
        <v>275</v>
      </c>
      <c r="D3" s="3" t="s">
        <v>276</v>
      </c>
      <c r="E3" s="3" t="s">
        <v>277</v>
      </c>
      <c r="F3" s="3" t="s">
        <v>278</v>
      </c>
      <c r="G3" s="3" t="s">
        <v>279</v>
      </c>
      <c r="H3" s="3" t="s">
        <v>280</v>
      </c>
      <c r="I3" s="3" t="s">
        <v>281</v>
      </c>
    </row>
    <row r="4" ht="28.5" spans="1:9">
      <c r="A4" s="4">
        <v>1</v>
      </c>
      <c r="B4" s="4" t="s">
        <v>75</v>
      </c>
      <c r="C4" s="4" t="s">
        <v>282</v>
      </c>
      <c r="D4" s="4" t="s">
        <v>283</v>
      </c>
      <c r="E4" s="4" t="s">
        <v>284</v>
      </c>
      <c r="F4" s="4" t="s">
        <v>285</v>
      </c>
      <c r="G4" s="4" t="s">
        <v>286</v>
      </c>
      <c r="H4" s="4" t="s">
        <v>287</v>
      </c>
      <c r="I4" s="4" t="s">
        <v>288</v>
      </c>
    </row>
    <row r="5" ht="28.5" spans="1:9">
      <c r="A5" s="6">
        <v>2</v>
      </c>
      <c r="B5" s="6" t="s">
        <v>289</v>
      </c>
      <c r="C5" s="6" t="s">
        <v>290</v>
      </c>
      <c r="D5" s="6" t="s">
        <v>283</v>
      </c>
      <c r="E5" s="6" t="s">
        <v>284</v>
      </c>
      <c r="F5" s="6" t="s">
        <v>285</v>
      </c>
      <c r="G5" s="6" t="s">
        <v>291</v>
      </c>
      <c r="H5" s="6" t="s">
        <v>287</v>
      </c>
      <c r="I5" s="6" t="s">
        <v>292</v>
      </c>
    </row>
    <row r="6" ht="42.75" spans="1:9">
      <c r="A6" s="4">
        <v>3</v>
      </c>
      <c r="B6" s="4" t="s">
        <v>293</v>
      </c>
      <c r="C6" s="4" t="s">
        <v>294</v>
      </c>
      <c r="D6" s="4" t="s">
        <v>295</v>
      </c>
      <c r="E6" s="4" t="s">
        <v>296</v>
      </c>
      <c r="F6" s="4" t="s">
        <v>297</v>
      </c>
      <c r="G6" s="4" t="s">
        <v>298</v>
      </c>
      <c r="H6" s="4" t="s">
        <v>287</v>
      </c>
      <c r="I6" s="4" t="s">
        <v>299</v>
      </c>
    </row>
    <row r="7" ht="28.5" spans="1:9">
      <c r="A7" s="6">
        <v>4</v>
      </c>
      <c r="B7" s="6" t="s">
        <v>27</v>
      </c>
      <c r="C7" s="6" t="s">
        <v>300</v>
      </c>
      <c r="D7" s="6" t="s">
        <v>283</v>
      </c>
      <c r="E7" s="6" t="s">
        <v>284</v>
      </c>
      <c r="F7" s="6" t="s">
        <v>285</v>
      </c>
      <c r="G7" s="6" t="s">
        <v>301</v>
      </c>
      <c r="H7" s="6" t="s">
        <v>302</v>
      </c>
      <c r="I7" s="6" t="s">
        <v>303</v>
      </c>
    </row>
    <row r="8" ht="28.5" spans="1:9">
      <c r="A8" s="4">
        <v>5</v>
      </c>
      <c r="B8" s="4" t="s">
        <v>289</v>
      </c>
      <c r="C8" s="4" t="s">
        <v>304</v>
      </c>
      <c r="D8" s="4" t="s">
        <v>305</v>
      </c>
      <c r="E8" s="4" t="s">
        <v>284</v>
      </c>
      <c r="F8" s="4" t="s">
        <v>285</v>
      </c>
      <c r="G8" s="4" t="s">
        <v>306</v>
      </c>
      <c r="H8" s="4" t="s">
        <v>287</v>
      </c>
      <c r="I8" s="4" t="s">
        <v>307</v>
      </c>
    </row>
    <row r="9" ht="28.5" spans="1:9">
      <c r="A9" s="6">
        <v>6</v>
      </c>
      <c r="B9" s="6" t="s">
        <v>43</v>
      </c>
      <c r="C9" s="6" t="s">
        <v>308</v>
      </c>
      <c r="D9" s="6" t="s">
        <v>309</v>
      </c>
      <c r="E9" s="6" t="s">
        <v>284</v>
      </c>
      <c r="F9" s="6" t="s">
        <v>285</v>
      </c>
      <c r="G9" s="6" t="s">
        <v>310</v>
      </c>
      <c r="H9" s="6" t="s">
        <v>287</v>
      </c>
      <c r="I9" s="6" t="s">
        <v>311</v>
      </c>
    </row>
    <row r="10" spans="1:9">
      <c r="A10" s="4">
        <v>7</v>
      </c>
      <c r="B10" s="4" t="s">
        <v>75</v>
      </c>
      <c r="C10" s="4" t="s">
        <v>282</v>
      </c>
      <c r="D10" s="4" t="s">
        <v>283</v>
      </c>
      <c r="E10" s="4" t="s">
        <v>284</v>
      </c>
      <c r="F10" s="4" t="s">
        <v>285</v>
      </c>
      <c r="G10" s="4" t="s">
        <v>286</v>
      </c>
      <c r="H10" s="4" t="s">
        <v>287</v>
      </c>
      <c r="I10" s="4" t="s">
        <v>312</v>
      </c>
    </row>
    <row r="11" spans="1:9">
      <c r="A11" s="6">
        <v>8</v>
      </c>
      <c r="B11" s="6" t="s">
        <v>53</v>
      </c>
      <c r="C11" s="6" t="s">
        <v>313</v>
      </c>
      <c r="D11" s="6" t="s">
        <v>283</v>
      </c>
      <c r="E11" s="6" t="s">
        <v>284</v>
      </c>
      <c r="F11" s="6" t="s">
        <v>285</v>
      </c>
      <c r="G11" s="6" t="s">
        <v>314</v>
      </c>
      <c r="H11" s="6" t="s">
        <v>287</v>
      </c>
      <c r="I11" s="6" t="s">
        <v>315</v>
      </c>
    </row>
    <row r="12" spans="1:9">
      <c r="A12" s="4">
        <v>9</v>
      </c>
      <c r="B12" s="4" t="s">
        <v>84</v>
      </c>
      <c r="C12" s="4" t="s">
        <v>304</v>
      </c>
      <c r="D12" s="4" t="s">
        <v>283</v>
      </c>
      <c r="E12" s="4" t="s">
        <v>284</v>
      </c>
      <c r="F12" s="4" t="s">
        <v>285</v>
      </c>
      <c r="G12" s="4" t="s">
        <v>316</v>
      </c>
      <c r="H12" s="4" t="s">
        <v>287</v>
      </c>
      <c r="I12" s="4" t="s">
        <v>317</v>
      </c>
    </row>
    <row r="13" spans="1:9">
      <c r="A13" s="6">
        <v>10</v>
      </c>
      <c r="B13" s="6" t="s">
        <v>289</v>
      </c>
      <c r="C13" s="6" t="s">
        <v>318</v>
      </c>
      <c r="D13" s="6" t="s">
        <v>305</v>
      </c>
      <c r="E13" s="6" t="s">
        <v>284</v>
      </c>
      <c r="F13" s="6" t="s">
        <v>285</v>
      </c>
      <c r="G13" s="6" t="s">
        <v>319</v>
      </c>
      <c r="H13" s="6" t="s">
        <v>287</v>
      </c>
      <c r="I13" s="6" t="s">
        <v>320</v>
      </c>
    </row>
    <row r="14" spans="1:9">
      <c r="A14" s="4">
        <v>11</v>
      </c>
      <c r="B14" s="4" t="s">
        <v>84</v>
      </c>
      <c r="C14" s="4" t="s">
        <v>321</v>
      </c>
      <c r="D14" s="4" t="s">
        <v>322</v>
      </c>
      <c r="E14" s="4" t="s">
        <v>323</v>
      </c>
      <c r="F14" s="4" t="s">
        <v>297</v>
      </c>
      <c r="G14" s="4" t="s">
        <v>324</v>
      </c>
      <c r="H14" s="4" t="s">
        <v>325</v>
      </c>
      <c r="I14" s="4" t="s">
        <v>326</v>
      </c>
    </row>
    <row r="15" spans="1:9">
      <c r="A15" s="6">
        <v>12</v>
      </c>
      <c r="B15" s="6" t="s">
        <v>27</v>
      </c>
      <c r="C15" s="6" t="s">
        <v>300</v>
      </c>
      <c r="D15" s="6" t="s">
        <v>283</v>
      </c>
      <c r="E15" s="6" t="s">
        <v>284</v>
      </c>
      <c r="F15" s="6" t="s">
        <v>285</v>
      </c>
      <c r="G15" s="6" t="s">
        <v>327</v>
      </c>
      <c r="H15" s="6" t="s">
        <v>287</v>
      </c>
      <c r="I15" s="6" t="s">
        <v>328</v>
      </c>
    </row>
    <row r="16" ht="28.5" spans="1:9">
      <c r="A16" s="4">
        <v>13</v>
      </c>
      <c r="B16" s="4" t="s">
        <v>329</v>
      </c>
      <c r="C16" s="4" t="s">
        <v>321</v>
      </c>
      <c r="D16" s="4" t="s">
        <v>330</v>
      </c>
      <c r="E16" s="4" t="s">
        <v>296</v>
      </c>
      <c r="F16" s="4" t="s">
        <v>297</v>
      </c>
      <c r="G16" s="4" t="s">
        <v>331</v>
      </c>
      <c r="H16" s="4" t="s">
        <v>287</v>
      </c>
      <c r="I16" s="4" t="s">
        <v>332</v>
      </c>
    </row>
    <row r="17" spans="1:9">
      <c r="A17" s="6">
        <v>14</v>
      </c>
      <c r="B17" s="6" t="s">
        <v>333</v>
      </c>
      <c r="C17" s="6" t="s">
        <v>334</v>
      </c>
      <c r="D17" s="6" t="s">
        <v>335</v>
      </c>
      <c r="E17" s="6" t="s">
        <v>284</v>
      </c>
      <c r="F17" s="6" t="s">
        <v>285</v>
      </c>
      <c r="G17" s="6" t="s">
        <v>336</v>
      </c>
      <c r="H17" s="6" t="s">
        <v>287</v>
      </c>
      <c r="I17" s="6" t="s">
        <v>337</v>
      </c>
    </row>
    <row r="18" spans="1:9">
      <c r="A18" s="4">
        <v>15</v>
      </c>
      <c r="B18" s="4" t="s">
        <v>133</v>
      </c>
      <c r="C18" s="4" t="s">
        <v>321</v>
      </c>
      <c r="D18" s="4" t="s">
        <v>322</v>
      </c>
      <c r="E18" s="4" t="s">
        <v>323</v>
      </c>
      <c r="F18" s="4" t="s">
        <v>297</v>
      </c>
      <c r="G18" s="4" t="s">
        <v>338</v>
      </c>
      <c r="H18" s="4" t="s">
        <v>325</v>
      </c>
      <c r="I18" s="4" t="s">
        <v>339</v>
      </c>
    </row>
    <row r="19" ht="28.5" spans="1:9">
      <c r="A19" s="6">
        <v>16</v>
      </c>
      <c r="B19" s="6" t="s">
        <v>144</v>
      </c>
      <c r="C19" s="6" t="s">
        <v>340</v>
      </c>
      <c r="D19" s="6" t="s">
        <v>341</v>
      </c>
      <c r="E19" s="6" t="s">
        <v>284</v>
      </c>
      <c r="F19" s="6" t="s">
        <v>285</v>
      </c>
      <c r="G19" s="6" t="s">
        <v>342</v>
      </c>
      <c r="H19" s="6" t="s">
        <v>325</v>
      </c>
      <c r="I19" s="6" t="s">
        <v>343</v>
      </c>
    </row>
    <row r="20" ht="28.5" spans="1:9">
      <c r="A20" s="4">
        <v>17</v>
      </c>
      <c r="B20" s="4" t="s">
        <v>344</v>
      </c>
      <c r="C20" s="4" t="s">
        <v>340</v>
      </c>
      <c r="D20" s="4" t="s">
        <v>345</v>
      </c>
      <c r="E20" s="4" t="s">
        <v>284</v>
      </c>
      <c r="F20" s="4" t="s">
        <v>285</v>
      </c>
      <c r="G20" s="4" t="s">
        <v>346</v>
      </c>
      <c r="H20" s="4" t="s">
        <v>287</v>
      </c>
      <c r="I20" s="4" t="s">
        <v>347</v>
      </c>
    </row>
    <row r="21" spans="1:9">
      <c r="A21" s="6">
        <v>18</v>
      </c>
      <c r="B21" s="6" t="s">
        <v>43</v>
      </c>
      <c r="C21" s="6" t="s">
        <v>290</v>
      </c>
      <c r="D21" s="6" t="s">
        <v>283</v>
      </c>
      <c r="E21" s="6" t="s">
        <v>284</v>
      </c>
      <c r="F21" s="6" t="s">
        <v>285</v>
      </c>
      <c r="G21" s="6" t="s">
        <v>348</v>
      </c>
      <c r="H21" s="6" t="s">
        <v>349</v>
      </c>
      <c r="I21" s="6" t="s">
        <v>350</v>
      </c>
    </row>
    <row r="22" spans="1:9">
      <c r="A22" s="4">
        <v>19</v>
      </c>
      <c r="B22" s="4" t="s">
        <v>64</v>
      </c>
      <c r="C22" s="4" t="s">
        <v>351</v>
      </c>
      <c r="D22" s="4" t="s">
        <v>283</v>
      </c>
      <c r="E22" s="4" t="s">
        <v>284</v>
      </c>
      <c r="F22" s="4" t="s">
        <v>285</v>
      </c>
      <c r="G22" s="4" t="s">
        <v>352</v>
      </c>
      <c r="H22" s="4" t="s">
        <v>353</v>
      </c>
      <c r="I22" s="4" t="s">
        <v>354</v>
      </c>
    </row>
    <row r="23" spans="1:9">
      <c r="A23" s="6">
        <v>20</v>
      </c>
      <c r="B23" s="6" t="s">
        <v>43</v>
      </c>
      <c r="C23" s="6" t="s">
        <v>290</v>
      </c>
      <c r="D23" s="6" t="s">
        <v>335</v>
      </c>
      <c r="E23" s="6" t="s">
        <v>284</v>
      </c>
      <c r="F23" s="6" t="s">
        <v>285</v>
      </c>
      <c r="G23" s="6" t="s">
        <v>355</v>
      </c>
      <c r="H23" s="6" t="s">
        <v>287</v>
      </c>
      <c r="I23" s="6" t="s">
        <v>356</v>
      </c>
    </row>
    <row r="24" spans="1:9">
      <c r="A24" s="4">
        <v>21</v>
      </c>
      <c r="B24" s="4" t="s">
        <v>43</v>
      </c>
      <c r="C24" s="4" t="s">
        <v>290</v>
      </c>
      <c r="D24" s="4" t="s">
        <v>335</v>
      </c>
      <c r="E24" s="4" t="s">
        <v>284</v>
      </c>
      <c r="F24" s="4" t="s">
        <v>285</v>
      </c>
      <c r="G24" s="4" t="s">
        <v>355</v>
      </c>
      <c r="H24" s="4" t="s">
        <v>353</v>
      </c>
      <c r="I24" s="4" t="s">
        <v>357</v>
      </c>
    </row>
    <row r="25" spans="1:9">
      <c r="A25" s="6">
        <v>22</v>
      </c>
      <c r="B25" s="6" t="s">
        <v>53</v>
      </c>
      <c r="C25" s="6" t="s">
        <v>313</v>
      </c>
      <c r="D25" s="6" t="s">
        <v>283</v>
      </c>
      <c r="E25" s="6" t="s">
        <v>284</v>
      </c>
      <c r="F25" s="6" t="s">
        <v>285</v>
      </c>
      <c r="G25" s="6" t="s">
        <v>314</v>
      </c>
      <c r="H25" s="6" t="s">
        <v>353</v>
      </c>
      <c r="I25" s="6" t="s">
        <v>358</v>
      </c>
    </row>
    <row r="26" spans="1:9">
      <c r="A26" s="4">
        <v>23</v>
      </c>
      <c r="B26" s="4" t="s">
        <v>75</v>
      </c>
      <c r="C26" s="4" t="s">
        <v>334</v>
      </c>
      <c r="D26" s="4" t="s">
        <v>305</v>
      </c>
      <c r="E26" s="4" t="s">
        <v>284</v>
      </c>
      <c r="F26" s="4" t="s">
        <v>285</v>
      </c>
      <c r="G26" s="4" t="s">
        <v>359</v>
      </c>
      <c r="H26" s="4" t="s">
        <v>325</v>
      </c>
      <c r="I26" s="4" t="s">
        <v>360</v>
      </c>
    </row>
    <row r="27" ht="28.5" spans="1:9">
      <c r="A27" s="6">
        <v>24</v>
      </c>
      <c r="B27" s="6" t="s">
        <v>290</v>
      </c>
      <c r="C27" s="6" t="s">
        <v>361</v>
      </c>
      <c r="D27" s="6" t="s">
        <v>362</v>
      </c>
      <c r="E27" s="6" t="s">
        <v>296</v>
      </c>
      <c r="F27" s="6" t="s">
        <v>297</v>
      </c>
      <c r="G27" s="6" t="s">
        <v>363</v>
      </c>
      <c r="H27" s="6" t="s">
        <v>353</v>
      </c>
      <c r="I27" s="6" t="s">
        <v>364</v>
      </c>
    </row>
    <row r="28" ht="28.5" spans="1:9">
      <c r="A28" s="4">
        <v>25</v>
      </c>
      <c r="B28" s="4" t="s">
        <v>365</v>
      </c>
      <c r="C28" s="4" t="s">
        <v>366</v>
      </c>
      <c r="D28" s="4" t="s">
        <v>367</v>
      </c>
      <c r="E28" s="4" t="s">
        <v>323</v>
      </c>
      <c r="F28" s="4" t="s">
        <v>297</v>
      </c>
      <c r="G28" s="4" t="s">
        <v>368</v>
      </c>
      <c r="H28" s="4" t="s">
        <v>369</v>
      </c>
      <c r="I28" s="4" t="s">
        <v>370</v>
      </c>
    </row>
    <row r="29" spans="1:9">
      <c r="A29" s="6">
        <v>26</v>
      </c>
      <c r="B29" s="6" t="s">
        <v>133</v>
      </c>
      <c r="C29" s="6" t="s">
        <v>371</v>
      </c>
      <c r="D29" s="6" t="s">
        <v>283</v>
      </c>
      <c r="E29" s="6" t="s">
        <v>284</v>
      </c>
      <c r="F29" s="6" t="s">
        <v>285</v>
      </c>
      <c r="G29" s="6" t="s">
        <v>372</v>
      </c>
      <c r="H29" s="6" t="s">
        <v>325</v>
      </c>
      <c r="I29" s="6" t="s">
        <v>373</v>
      </c>
    </row>
    <row r="30" spans="1:9">
      <c r="A30" s="4">
        <v>27</v>
      </c>
      <c r="B30" s="4" t="s">
        <v>144</v>
      </c>
      <c r="C30" s="4" t="s">
        <v>340</v>
      </c>
      <c r="D30" s="4" t="s">
        <v>283</v>
      </c>
      <c r="E30" s="4" t="s">
        <v>284</v>
      </c>
      <c r="F30" s="4" t="s">
        <v>285</v>
      </c>
      <c r="G30" s="4" t="s">
        <v>374</v>
      </c>
      <c r="H30" s="4" t="s">
        <v>353</v>
      </c>
      <c r="I30" s="4" t="s">
        <v>375</v>
      </c>
    </row>
    <row r="31" ht="28.5" spans="1:9">
      <c r="A31" s="6">
        <v>28</v>
      </c>
      <c r="B31" s="6" t="s">
        <v>344</v>
      </c>
      <c r="C31" s="6" t="s">
        <v>321</v>
      </c>
      <c r="D31" s="6" t="s">
        <v>330</v>
      </c>
      <c r="E31" s="6" t="s">
        <v>296</v>
      </c>
      <c r="F31" s="6" t="s">
        <v>297</v>
      </c>
      <c r="G31" s="6" t="s">
        <v>376</v>
      </c>
      <c r="H31" s="6" t="s">
        <v>353</v>
      </c>
      <c r="I31" s="6" t="s">
        <v>377</v>
      </c>
    </row>
    <row r="32" spans="1:9">
      <c r="A32" s="4">
        <v>29</v>
      </c>
      <c r="B32" s="4" t="s">
        <v>133</v>
      </c>
      <c r="C32" s="4" t="s">
        <v>321</v>
      </c>
      <c r="D32" s="4" t="s">
        <v>322</v>
      </c>
      <c r="E32" s="4" t="s">
        <v>323</v>
      </c>
      <c r="F32" s="4" t="s">
        <v>297</v>
      </c>
      <c r="G32" s="4" t="s">
        <v>378</v>
      </c>
      <c r="H32" s="4" t="s">
        <v>325</v>
      </c>
      <c r="I32" s="4" t="s">
        <v>379</v>
      </c>
    </row>
    <row r="33" spans="1:9">
      <c r="A33" s="6">
        <v>30</v>
      </c>
      <c r="B33" s="6" t="s">
        <v>380</v>
      </c>
      <c r="C33" s="6" t="s">
        <v>381</v>
      </c>
      <c r="D33" s="6" t="s">
        <v>382</v>
      </c>
      <c r="E33" s="6" t="s">
        <v>323</v>
      </c>
      <c r="F33" s="6" t="s">
        <v>297</v>
      </c>
      <c r="G33" s="6" t="s">
        <v>383</v>
      </c>
      <c r="H33" s="6" t="s">
        <v>325</v>
      </c>
      <c r="I33" s="6" t="s">
        <v>384</v>
      </c>
    </row>
    <row r="34" ht="28.5" spans="1:9">
      <c r="A34" s="4">
        <v>31</v>
      </c>
      <c r="B34" s="4" t="s">
        <v>385</v>
      </c>
      <c r="C34" s="4" t="s">
        <v>318</v>
      </c>
      <c r="D34" s="4" t="s">
        <v>305</v>
      </c>
      <c r="E34" s="4" t="s">
        <v>284</v>
      </c>
      <c r="F34" s="4" t="s">
        <v>285</v>
      </c>
      <c r="G34" s="4" t="s">
        <v>386</v>
      </c>
      <c r="H34" s="4" t="s">
        <v>353</v>
      </c>
      <c r="I34" s="4" t="s">
        <v>387</v>
      </c>
    </row>
    <row r="35" spans="1:9">
      <c r="A35" s="6">
        <v>32</v>
      </c>
      <c r="B35" s="6" t="s">
        <v>43</v>
      </c>
      <c r="C35" s="6" t="s">
        <v>290</v>
      </c>
      <c r="D35" s="6" t="s">
        <v>283</v>
      </c>
      <c r="E35" s="6" t="s">
        <v>284</v>
      </c>
      <c r="F35" s="6" t="s">
        <v>285</v>
      </c>
      <c r="G35" s="6" t="s">
        <v>388</v>
      </c>
      <c r="H35" s="6" t="s">
        <v>287</v>
      </c>
      <c r="I35" s="6" t="s">
        <v>389</v>
      </c>
    </row>
    <row r="36" spans="1:9">
      <c r="A36" s="4">
        <v>33</v>
      </c>
      <c r="B36" s="4" t="s">
        <v>390</v>
      </c>
      <c r="C36" s="4" t="s">
        <v>391</v>
      </c>
      <c r="D36" s="4" t="s">
        <v>392</v>
      </c>
      <c r="E36" s="4" t="s">
        <v>284</v>
      </c>
      <c r="F36" s="4" t="s">
        <v>285</v>
      </c>
      <c r="G36" s="4" t="s">
        <v>393</v>
      </c>
      <c r="H36" s="4" t="s">
        <v>349</v>
      </c>
      <c r="I36" s="4" t="s">
        <v>394</v>
      </c>
    </row>
    <row r="37" spans="1:9">
      <c r="A37" s="6">
        <v>34</v>
      </c>
      <c r="B37" s="6" t="s">
        <v>395</v>
      </c>
      <c r="C37" s="6" t="s">
        <v>340</v>
      </c>
      <c r="D37" s="6" t="s">
        <v>396</v>
      </c>
      <c r="E37" s="6" t="s">
        <v>284</v>
      </c>
      <c r="F37" s="6" t="s">
        <v>285</v>
      </c>
      <c r="G37" s="6" t="s">
        <v>397</v>
      </c>
      <c r="H37" s="6" t="s">
        <v>353</v>
      </c>
      <c r="I37" s="6" t="s">
        <v>398</v>
      </c>
    </row>
    <row r="38" ht="28.5" spans="1:9">
      <c r="A38" s="4">
        <v>35</v>
      </c>
      <c r="B38" s="4" t="s">
        <v>84</v>
      </c>
      <c r="C38" s="4" t="s">
        <v>321</v>
      </c>
      <c r="D38" s="4" t="s">
        <v>322</v>
      </c>
      <c r="E38" s="4" t="s">
        <v>323</v>
      </c>
      <c r="F38" s="4" t="s">
        <v>297</v>
      </c>
      <c r="G38" s="4" t="s">
        <v>399</v>
      </c>
      <c r="H38" s="4" t="s">
        <v>325</v>
      </c>
      <c r="I38" s="4" t="s">
        <v>400</v>
      </c>
    </row>
    <row r="39" ht="28.5" spans="1:9">
      <c r="A39" s="6">
        <v>36</v>
      </c>
      <c r="B39" s="6" t="s">
        <v>401</v>
      </c>
      <c r="C39" s="6" t="s">
        <v>304</v>
      </c>
      <c r="D39" s="6" t="s">
        <v>396</v>
      </c>
      <c r="E39" s="6" t="s">
        <v>284</v>
      </c>
      <c r="F39" s="6" t="s">
        <v>285</v>
      </c>
      <c r="G39" s="6" t="s">
        <v>402</v>
      </c>
      <c r="H39" s="6" t="s">
        <v>353</v>
      </c>
      <c r="I39" s="6" t="s">
        <v>403</v>
      </c>
    </row>
  </sheetData>
  <mergeCells count="2">
    <mergeCell ref="A1:I1"/>
    <mergeCell ref="A2:I2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4"/>
  <sheetViews>
    <sheetView workbookViewId="0">
      <selection activeCell="A1" sqref="A1:K1"/>
    </sheetView>
  </sheetViews>
  <sheetFormatPr defaultColWidth="9" defaultRowHeight="14.25"/>
  <cols>
    <col min="1" max="1" width="20" customWidth="1"/>
    <col min="2" max="2" width="38" customWidth="1"/>
    <col min="3" max="3" width="42" customWidth="1"/>
    <col min="4" max="4" width="25" customWidth="1"/>
    <col min="5" max="5" width="28" customWidth="1"/>
    <col min="6" max="6" width="30" customWidth="1"/>
    <col min="7" max="7" width="40" customWidth="1"/>
    <col min="8" max="9" width="18" customWidth="1"/>
    <col min="10" max="10" width="16" customWidth="1"/>
    <col min="11" max="11" width="35" customWidth="1"/>
  </cols>
  <sheetData>
    <row r="1" ht="18" spans="1:11">
      <c r="A1" s="1" t="s">
        <v>404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2" t="s">
        <v>405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ht="30" spans="1:11">
      <c r="A3" s="3" t="s">
        <v>2</v>
      </c>
      <c r="B3" s="3" t="s">
        <v>406</v>
      </c>
      <c r="C3" s="3" t="s">
        <v>407</v>
      </c>
      <c r="D3" s="3" t="s">
        <v>408</v>
      </c>
      <c r="E3" s="3" t="s">
        <v>409</v>
      </c>
      <c r="F3" s="3" t="s">
        <v>410</v>
      </c>
      <c r="G3" s="3" t="s">
        <v>411</v>
      </c>
      <c r="H3" s="3" t="s">
        <v>412</v>
      </c>
      <c r="I3" s="3" t="s">
        <v>413</v>
      </c>
      <c r="J3" s="3" t="s">
        <v>414</v>
      </c>
      <c r="K3" s="3" t="s">
        <v>19</v>
      </c>
    </row>
    <row r="4" ht="57" spans="1:11">
      <c r="A4" s="4" t="s">
        <v>415</v>
      </c>
      <c r="B4" s="4" t="s">
        <v>416</v>
      </c>
      <c r="C4" s="4" t="s">
        <v>417</v>
      </c>
      <c r="D4" s="4" t="s">
        <v>418</v>
      </c>
      <c r="E4" s="4" t="s">
        <v>419</v>
      </c>
      <c r="F4" s="4" t="s">
        <v>420</v>
      </c>
      <c r="G4" s="4" t="s">
        <v>421</v>
      </c>
      <c r="H4" s="5"/>
      <c r="I4" s="5"/>
      <c r="J4" s="5"/>
      <c r="K4" s="4" t="s">
        <v>422</v>
      </c>
    </row>
    <row r="5" ht="42.75" spans="1:11">
      <c r="A5" s="6" t="s">
        <v>38</v>
      </c>
      <c r="B5" s="6" t="s">
        <v>423</v>
      </c>
      <c r="C5" s="6" t="s">
        <v>424</v>
      </c>
      <c r="D5" s="6" t="s">
        <v>425</v>
      </c>
      <c r="E5" s="6"/>
      <c r="F5" s="6" t="s">
        <v>426</v>
      </c>
      <c r="G5" s="6" t="s">
        <v>427</v>
      </c>
      <c r="H5" s="7"/>
      <c r="I5" s="7"/>
      <c r="J5" s="7"/>
      <c r="K5" s="6" t="s">
        <v>428</v>
      </c>
    </row>
    <row r="6" ht="42.75" spans="1:11">
      <c r="A6" s="4" t="s">
        <v>429</v>
      </c>
      <c r="B6" s="4" t="s">
        <v>430</v>
      </c>
      <c r="C6" s="4" t="s">
        <v>431</v>
      </c>
      <c r="D6" s="4" t="s">
        <v>432</v>
      </c>
      <c r="E6" s="4"/>
      <c r="F6" s="4"/>
      <c r="G6" s="4" t="s">
        <v>433</v>
      </c>
      <c r="H6" s="5"/>
      <c r="I6" s="5"/>
      <c r="J6" s="5"/>
      <c r="K6" s="4" t="s">
        <v>434</v>
      </c>
    </row>
    <row r="7" ht="42.75" spans="1:11">
      <c r="A7" s="6" t="s">
        <v>435</v>
      </c>
      <c r="B7" s="6" t="s">
        <v>436</v>
      </c>
      <c r="C7" s="6" t="s">
        <v>437</v>
      </c>
      <c r="D7" s="6" t="s">
        <v>72</v>
      </c>
      <c r="E7" s="6"/>
      <c r="F7" s="6"/>
      <c r="G7" s="6" t="s">
        <v>438</v>
      </c>
      <c r="H7" s="7"/>
      <c r="I7" s="7"/>
      <c r="J7" s="7"/>
      <c r="K7" s="6"/>
    </row>
    <row r="8" ht="28.5" spans="1:11">
      <c r="A8" s="4" t="s">
        <v>439</v>
      </c>
      <c r="B8" s="4" t="s">
        <v>440</v>
      </c>
      <c r="C8" s="4" t="s">
        <v>441</v>
      </c>
      <c r="D8" s="4" t="s">
        <v>442</v>
      </c>
      <c r="E8" s="4" t="s">
        <v>443</v>
      </c>
      <c r="F8" s="4" t="s">
        <v>444</v>
      </c>
      <c r="G8" s="4" t="s">
        <v>445</v>
      </c>
      <c r="H8" s="5"/>
      <c r="I8" s="5"/>
      <c r="J8" s="5"/>
      <c r="K8" s="4"/>
    </row>
    <row r="9" ht="42.75" spans="1:11">
      <c r="A9" s="6" t="s">
        <v>98</v>
      </c>
      <c r="B9" s="6" t="s">
        <v>446</v>
      </c>
      <c r="C9" s="6" t="s">
        <v>447</v>
      </c>
      <c r="D9" s="6" t="s">
        <v>448</v>
      </c>
      <c r="E9" s="6"/>
      <c r="F9" s="6" t="s">
        <v>449</v>
      </c>
      <c r="G9" s="6" t="s">
        <v>450</v>
      </c>
      <c r="H9" s="7"/>
      <c r="I9" s="7"/>
      <c r="J9" s="7"/>
      <c r="K9" s="6" t="s">
        <v>451</v>
      </c>
    </row>
    <row r="10" ht="42.75" spans="1:11">
      <c r="A10" s="4" t="s">
        <v>452</v>
      </c>
      <c r="B10" s="4" t="s">
        <v>453</v>
      </c>
      <c r="C10" s="4" t="s">
        <v>454</v>
      </c>
      <c r="D10" s="4" t="s">
        <v>455</v>
      </c>
      <c r="E10" s="4"/>
      <c r="F10" s="4"/>
      <c r="G10" s="4" t="s">
        <v>456</v>
      </c>
      <c r="H10" s="5"/>
      <c r="I10" s="5"/>
      <c r="J10" s="5"/>
      <c r="K10" s="4"/>
    </row>
    <row r="11" ht="42.75" spans="1:11">
      <c r="A11" s="6" t="s">
        <v>457</v>
      </c>
      <c r="B11" s="6" t="s">
        <v>458</v>
      </c>
      <c r="C11" s="6" t="s">
        <v>459</v>
      </c>
      <c r="D11" s="6" t="s">
        <v>118</v>
      </c>
      <c r="E11" s="6" t="s">
        <v>460</v>
      </c>
      <c r="F11" s="6" t="s">
        <v>461</v>
      </c>
      <c r="G11" s="6" t="s">
        <v>462</v>
      </c>
      <c r="H11" s="7"/>
      <c r="I11" s="7"/>
      <c r="J11" s="7"/>
      <c r="K11" s="6"/>
    </row>
    <row r="12" ht="28.5" spans="1:11">
      <c r="A12" s="4" t="s">
        <v>463</v>
      </c>
      <c r="B12" s="4" t="s">
        <v>464</v>
      </c>
      <c r="C12" s="4" t="s">
        <v>465</v>
      </c>
      <c r="D12" s="4" t="s">
        <v>466</v>
      </c>
      <c r="E12" s="4"/>
      <c r="F12" s="4"/>
      <c r="G12" s="4" t="s">
        <v>467</v>
      </c>
      <c r="H12" s="5"/>
      <c r="I12" s="5"/>
      <c r="J12" s="5"/>
      <c r="K12" s="4" t="s">
        <v>468</v>
      </c>
    </row>
    <row r="13" ht="28.5" spans="1:11">
      <c r="A13" s="6" t="s">
        <v>142</v>
      </c>
      <c r="B13" s="6" t="s">
        <v>469</v>
      </c>
      <c r="C13" s="6" t="s">
        <v>470</v>
      </c>
      <c r="D13" s="6" t="s">
        <v>471</v>
      </c>
      <c r="E13" s="6"/>
      <c r="F13" s="6" t="s">
        <v>472</v>
      </c>
      <c r="G13" s="6" t="s">
        <v>473</v>
      </c>
      <c r="H13" s="7"/>
      <c r="I13" s="7"/>
      <c r="J13" s="7"/>
      <c r="K13" s="6"/>
    </row>
    <row r="14" ht="42.75" spans="1:11">
      <c r="A14" s="4" t="s">
        <v>474</v>
      </c>
      <c r="B14" s="4" t="s">
        <v>475</v>
      </c>
      <c r="C14" s="4" t="s">
        <v>476</v>
      </c>
      <c r="D14" s="4" t="s">
        <v>477</v>
      </c>
      <c r="E14" s="4"/>
      <c r="F14" s="4" t="s">
        <v>478</v>
      </c>
      <c r="G14" s="4" t="s">
        <v>479</v>
      </c>
      <c r="H14" s="5"/>
      <c r="I14" s="5"/>
      <c r="J14" s="5"/>
      <c r="K14" s="4" t="s">
        <v>480</v>
      </c>
    </row>
  </sheetData>
  <mergeCells count="2">
    <mergeCell ref="A1:K1"/>
    <mergeCell ref="A2:K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Master Schedule</vt:lpstr>
      <vt:lpstr>Dashboard</vt:lpstr>
      <vt:lpstr>Redo Rules</vt:lpstr>
      <vt:lpstr>Exercise Map</vt:lpstr>
      <vt:lpstr>Section Plan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彭湛文</cp:lastModifiedBy>
  <dcterms:created xsi:type="dcterms:W3CDTF">2026-09-11T03:25:00Z</dcterms:created>
  <dcterms:modified xsi:type="dcterms:W3CDTF">2026-09-16T07:20:42Z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2052-11.8.2.9067</vt:lpwstr>
  </property>
</Properties>
</file>