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785"/>
  </bookViews>
  <sheets>
    <sheet name="Daily Plan" sheetId="1" r:id="rId1"/>
    <sheet name="Exercise Map" sheetId="2" r:id="rId2"/>
    <sheet name="Progress" sheetId="3" r:id="rId3"/>
  </sheets>
  <definedNames>
    <definedName name="_xlnm._FilterDatabase" localSheetId="0" hidden="1">'Daily Plan'!$A$4:$K$56</definedName>
    <definedName name="_xlnm._FilterDatabase" localSheetId="1" hidden="1">'Exercise Map'!$A$3:$F$43</definedName>
  </definedNames>
  <calcPr calcId="144525"/>
</workbook>
</file>

<file path=xl/sharedStrings.xml><?xml version="1.0" encoding="utf-8"?>
<sst xmlns="http://schemas.openxmlformats.org/spreadsheetml/2006/main" count="372" uniqueCount="188">
  <si>
    <t>Chapter 5 Learning Plan (Resnick: A Probability Path)</t>
  </si>
  <si>
    <t>Start Date (edit)</t>
  </si>
  <si>
    <t>Status Legend</t>
  </si>
  <si>
    <t>Not Started / In Progress / Done</t>
  </si>
  <si>
    <t>Day</t>
  </si>
  <si>
    <t>Date</t>
  </si>
  <si>
    <t>Section</t>
  </si>
  <si>
    <t>Reading (if any)</t>
  </si>
  <si>
    <t>Tasks (exercise + level)</t>
  </si>
  <si>
    <t>Est. minutes</t>
  </si>
  <si>
    <t>Status</t>
  </si>
  <si>
    <t>C1 Due (auto)</t>
  </si>
  <si>
    <t>C1 Done?</t>
  </si>
  <si>
    <t>Notes</t>
  </si>
  <si>
    <t>Link/Ref</t>
  </si>
  <si>
    <t>5.1–5.2.3</t>
  </si>
  <si>
    <t>Exercises: Ex2 (L2), Ex4 (L2)</t>
  </si>
  <si>
    <t>Done</t>
  </si>
  <si>
    <t>Yes</t>
  </si>
  <si>
    <t>Actual done: 2026-01-31</t>
  </si>
  <si>
    <t>Exercises: Ex1 (L2)</t>
  </si>
  <si>
    <t>Exercises: Ex3 (L2)</t>
  </si>
  <si>
    <t>Actual done: 2026-02-01</t>
  </si>
  <si>
    <t>Exercises: Ex5(a) (L2)</t>
  </si>
  <si>
    <t>Actual done: 2026-02-02</t>
  </si>
  <si>
    <t>Exercises: Ex5(b–d) (L2)</t>
  </si>
  <si>
    <t>Actual done: 2026-02-03</t>
  </si>
  <si>
    <t>Exercises: Ex6(a–c) (L1)</t>
  </si>
  <si>
    <t>(a)(b): 2026-02-04, © 2026-02-05</t>
  </si>
  <si>
    <t>Exercises: Ex10 (L1) + 10-min recap note</t>
  </si>
  <si>
    <t>Actual done: 2026-02-05</t>
  </si>
  <si>
    <t>5.3</t>
  </si>
  <si>
    <t>Read §5.3 (first half)</t>
  </si>
  <si>
    <t>Exercises: Ex38 (L2)</t>
  </si>
  <si>
    <t>Actual done: 2026-02-06</t>
  </si>
  <si>
    <t>Read §5.3 (second half)</t>
  </si>
  <si>
    <t>Exercises: Ex7 (L2)</t>
  </si>
  <si>
    <t>Exercises: Ex8(a–b) (L3)</t>
  </si>
  <si>
    <t>Actual done: 2026-02-08</t>
  </si>
  <si>
    <t>Exercises: Ex13 (L1)</t>
  </si>
  <si>
    <t>Actual done: 2026-02-09</t>
  </si>
  <si>
    <t>Exercises: Ex30 (L1)</t>
  </si>
  <si>
    <t>Actual done: 2026-02-10</t>
  </si>
  <si>
    <t>Exercises: Ex36 (L1)</t>
  </si>
  <si>
    <t>Actual done: 2026-02-11</t>
  </si>
  <si>
    <t>Exercises: Ex15(a–b) (L3) + quick §5.3 review</t>
  </si>
  <si>
    <t>Actual done: 2026-02-12</t>
  </si>
  <si>
    <t>5.4</t>
  </si>
  <si>
    <t>Read §5.4</t>
  </si>
  <si>
    <t>Exercises: Ex6(d) (L1)</t>
  </si>
  <si>
    <t>Read 5.4 at 2026-02-10</t>
  </si>
  <si>
    <t>Exercises: Ex6(e) (L1) (finish Ex6)</t>
  </si>
  <si>
    <t>Actual done: 2026-02-13</t>
  </si>
  <si>
    <t>5.5</t>
  </si>
  <si>
    <t>Read §5.5</t>
  </si>
  <si>
    <t>Exercises: Ex14 (L2)</t>
  </si>
  <si>
    <t>Read 5.5 at 2026-02-12 
Actual done: 2026-02-13</t>
  </si>
  <si>
    <t>Exercises: Ex20(a) (L1)</t>
  </si>
  <si>
    <t>Actual done: 2026-02-14</t>
  </si>
  <si>
    <t>Exercises: Ex20(b) (L1)</t>
  </si>
  <si>
    <t>Actual done: 2026-02-15</t>
  </si>
  <si>
    <t>Exercises: Ex20(c–e) (L1) (finish Ex20)</t>
  </si>
  <si>
    <t>Actual done: 2026-02-16</t>
  </si>
  <si>
    <t>5.3/5.5</t>
  </si>
  <si>
    <t>Exercises: Ex21 (L2)</t>
  </si>
  <si>
    <t>Actual done: 2026-02-18</t>
  </si>
  <si>
    <t>5.6</t>
  </si>
  <si>
    <t>Read §5.6</t>
  </si>
  <si>
    <t>Exercises: Ex16(a) (L2)</t>
  </si>
  <si>
    <t>Actual done: 2026-02-22</t>
  </si>
  <si>
    <t>Exercises: Ex18 (L3)</t>
  </si>
  <si>
    <t>Actual done: 2026-02-25</t>
  </si>
  <si>
    <t>5.7</t>
  </si>
  <si>
    <t>Read §5.7</t>
  </si>
  <si>
    <t>Exercises: Ex23 (L2)</t>
  </si>
  <si>
    <t>Actual done: 2026-03-01</t>
  </si>
  <si>
    <t>Exercises: Ex12 (L1) (part 1)</t>
  </si>
  <si>
    <t>Exercises: Ex12 (L1) (part 2) (finish Ex12)</t>
  </si>
  <si>
    <t>Actual done: 2026-03-04</t>
  </si>
  <si>
    <t>5.9</t>
  </si>
  <si>
    <t>Exercises: Ex17 (L2)</t>
  </si>
  <si>
    <t>Actual done: 2026-03-06</t>
  </si>
  <si>
    <t>misc</t>
  </si>
  <si>
    <t>Exercises: Ex27 (L3)</t>
  </si>
  <si>
    <t>Actual done: 2026-03-08</t>
  </si>
  <si>
    <t>5.8</t>
  </si>
  <si>
    <t>Read §5.8</t>
  </si>
  <si>
    <t>Exercises: Ex16(b) (L2)</t>
  </si>
  <si>
    <t>Actual done: 2026-03-09</t>
  </si>
  <si>
    <t>Exercises: Ex16(c) (L2)</t>
  </si>
  <si>
    <t>Actual done: 2026-03-10</t>
  </si>
  <si>
    <t>5.4/5.8</t>
  </si>
  <si>
    <t>Exercises: Ex11 (L2)</t>
  </si>
  <si>
    <t>Actual done: 2026-03-11</t>
  </si>
  <si>
    <t>Exercises: Ex19 (L1)</t>
  </si>
  <si>
    <t>Actual done: 2026-03-12</t>
  </si>
  <si>
    <t>Read §5.9 (part 1)</t>
  </si>
  <si>
    <t>Exercises: Ex22(a) (L1)</t>
  </si>
  <si>
    <t>Read §5.9 (part 2)</t>
  </si>
  <si>
    <t>Exercises: Ex22(b) (L1)</t>
  </si>
  <si>
    <t>Exercises: Ex22(c) (L1)</t>
  </si>
  <si>
    <t>Exercises: Ex22(d–f) (L1) (finish Ex22)</t>
  </si>
  <si>
    <t>Actual done: 2026-03-13</t>
  </si>
  <si>
    <t>Exercises: Ex24 (L2)</t>
  </si>
  <si>
    <t>Exercises: Ex35 (L2)</t>
  </si>
  <si>
    <t>Actual done: 2026-03-16</t>
  </si>
  <si>
    <t>Exercises: Ex28 (L2)</t>
  </si>
  <si>
    <t>Actual done: 2026-03-17</t>
  </si>
  <si>
    <t>Exercises: Ex26 (L2)</t>
  </si>
  <si>
    <t>Exercises: Ex29 (L2)</t>
  </si>
  <si>
    <t>wrap</t>
  </si>
  <si>
    <t>Exercises: Ex32 (L2), Ex33 (L2), Ex34 (L2)</t>
  </si>
  <si>
    <t>Actual done Ex32: 2026-03-17, Ex33, 34: 2026-03-18</t>
  </si>
  <si>
    <t>Exercises: Ex31(a–d) (L2)</t>
  </si>
  <si>
    <t>Exercises: Ex31(e–g) (L2)</t>
  </si>
  <si>
    <t>Actual done: 2026-03-24</t>
  </si>
  <si>
    <t>Exercises: Ex25 (L3) (part 1)</t>
  </si>
  <si>
    <t>Exercises: Ex25 (L3) (part 2) (finish Ex25)</t>
  </si>
  <si>
    <t>Actual done: 2026-03-25</t>
  </si>
  <si>
    <t>Exercises: Ex37 (L1)</t>
  </si>
  <si>
    <t>Actual done: 2026-03-27</t>
  </si>
  <si>
    <t>Exercises: Ex9 (L2)</t>
  </si>
  <si>
    <t>Actual done: 2026-03-28</t>
  </si>
  <si>
    <t>Exercises: Ex39 (L2) (part 1)</t>
  </si>
  <si>
    <t>Actual done: 2026-03-29</t>
  </si>
  <si>
    <t>Exercises: Ex39 (L2) (part 2) (finish Ex39)</t>
  </si>
  <si>
    <t>Actual done: 2026-03-30</t>
  </si>
  <si>
    <t>Exercises: Ex40(a–b) (L2)</t>
  </si>
  <si>
    <t>Actual done: 2026-04-01</t>
  </si>
  <si>
    <t>Chapter 5 wrap: 1-page Moves List + confirm all 40 exercises have entries</t>
  </si>
  <si>
    <t>Exercise Map (all Chapter 5 exercises included)</t>
  </si>
  <si>
    <t>Start Date (linked)</t>
  </si>
  <si>
    <t>Exercise</t>
  </si>
  <si>
    <t>Level</t>
  </si>
  <si>
    <t>Planned Day(s)</t>
  </si>
  <si>
    <t>Planned Date(s)</t>
  </si>
  <si>
    <t>Section(s)</t>
  </si>
  <si>
    <t>L2</t>
  </si>
  <si>
    <t>2</t>
  </si>
  <si>
    <t>1</t>
  </si>
  <si>
    <t>3</t>
  </si>
  <si>
    <t>4–5</t>
  </si>
  <si>
    <t>6–16</t>
  </si>
  <si>
    <t>5.1–5.2.3, 5.4</t>
  </si>
  <si>
    <t>9</t>
  </si>
  <si>
    <t>10</t>
  </si>
  <si>
    <t>48</t>
  </si>
  <si>
    <t>L1</t>
  </si>
  <si>
    <t>7</t>
  </si>
  <si>
    <t>31</t>
  </si>
  <si>
    <t>25–26</t>
  </si>
  <si>
    <t>11</t>
  </si>
  <si>
    <t>17</t>
  </si>
  <si>
    <t>14</t>
  </si>
  <si>
    <t>22–30</t>
  </si>
  <si>
    <t>5.6, 5.8</t>
  </si>
  <si>
    <t>27</t>
  </si>
  <si>
    <t>L3</t>
  </si>
  <si>
    <t>23</t>
  </si>
  <si>
    <t>32</t>
  </si>
  <si>
    <t>18–20</t>
  </si>
  <si>
    <t>21</t>
  </si>
  <si>
    <t>33–36</t>
  </si>
  <si>
    <t>24</t>
  </si>
  <si>
    <t>37</t>
  </si>
  <si>
    <t>45–46</t>
  </si>
  <si>
    <t>40</t>
  </si>
  <si>
    <t>28</t>
  </si>
  <si>
    <t>39</t>
  </si>
  <si>
    <t>41</t>
  </si>
  <si>
    <t>12</t>
  </si>
  <si>
    <t>43–44</t>
  </si>
  <si>
    <t>42</t>
  </si>
  <si>
    <t>38</t>
  </si>
  <si>
    <t>13</t>
  </si>
  <si>
    <t>47</t>
  </si>
  <si>
    <t>8</t>
  </si>
  <si>
    <t>49–50</t>
  </si>
  <si>
    <t>51</t>
  </si>
  <si>
    <t>Progress Dashboard</t>
  </si>
  <si>
    <t>Start Date</t>
  </si>
  <si>
    <t>Days Planned</t>
  </si>
  <si>
    <t>Days Done</t>
  </si>
  <si>
    <t>Days In Progress</t>
  </si>
  <si>
    <t>Days Not Started</t>
  </si>
  <si>
    <t>Exercises Covered (should be 40)</t>
  </si>
  <si>
    <t>C1 Due (count)</t>
  </si>
  <si>
    <t>C1 Marked Yes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</si>
</sst>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\-mm\-dd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b/>
      <sz val="16"/>
      <name val="宋体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0" fillId="2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176" fontId="0" fillId="0" borderId="0" xfId="0" applyNumberFormat="1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76" fontId="0" fillId="0" borderId="1" xfId="0" applyNumberFormat="1" applyBorder="1"/>
    <xf numFmtId="176" fontId="0" fillId="0" borderId="1" xfId="0" applyNumberFormat="1" applyBorder="1" applyAlignment="1">
      <alignment vertical="top" wrapText="1"/>
    </xf>
    <xf numFmtId="0" fontId="0" fillId="0" borderId="1" xfId="0" applyFont="1" applyBorder="1" applyAlignment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showGridLines="0" tabSelected="1" topLeftCell="E1" workbookViewId="0">
      <pane ySplit="4" topLeftCell="A45" activePane="bottomLeft" state="frozen"/>
      <selection/>
      <selection pane="bottomLeft" activeCell="G56" sqref="G56"/>
    </sheetView>
  </sheetViews>
  <sheetFormatPr defaultColWidth="9" defaultRowHeight="13.5"/>
  <cols>
    <col min="1" max="1" width="6" customWidth="1"/>
    <col min="2" max="3" width="12" customWidth="1"/>
    <col min="4" max="4" width="26" customWidth="1"/>
    <col min="5" max="5" width="44" customWidth="1"/>
    <col min="6" max="6" width="12" customWidth="1"/>
    <col min="7" max="7" width="14" customWidth="1"/>
    <col min="8" max="8" width="12" customWidth="1"/>
    <col min="9" max="9" width="10" customWidth="1"/>
    <col min="10" max="10" width="28" customWidth="1"/>
    <col min="11" max="11" width="12" customWidth="1"/>
  </cols>
  <sheetData>
    <row r="1" ht="20.25" spans="1:1">
      <c r="A1" s="9" t="s">
        <v>0</v>
      </c>
    </row>
    <row r="2" spans="1:5">
      <c r="A2" s="5" t="s">
        <v>1</v>
      </c>
      <c r="B2" s="6">
        <v>46053</v>
      </c>
      <c r="D2" s="5" t="s">
        <v>2</v>
      </c>
      <c r="E2" t="s">
        <v>3</v>
      </c>
    </row>
    <row r="4" ht="27" spans="1:11">
      <c r="A4" s="10" t="s">
        <v>4</v>
      </c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0" t="s">
        <v>13</v>
      </c>
      <c r="K4" s="10" t="s">
        <v>14</v>
      </c>
    </row>
    <row r="5" spans="1:11">
      <c r="A5" s="11">
        <v>1</v>
      </c>
      <c r="B5" s="12">
        <f t="shared" ref="B5:B36" si="0">IF($B$2="","",$B$2+A5-1)</f>
        <v>46053</v>
      </c>
      <c r="C5" s="8" t="s">
        <v>15</v>
      </c>
      <c r="D5" s="8"/>
      <c r="E5" s="8" t="s">
        <v>16</v>
      </c>
      <c r="F5" s="8">
        <v>75</v>
      </c>
      <c r="G5" s="8" t="s">
        <v>17</v>
      </c>
      <c r="H5" s="13">
        <f t="shared" ref="H5:H36" si="1">IF(G5="Done",B5+2,"")</f>
        <v>46055</v>
      </c>
      <c r="I5" s="8" t="s">
        <v>18</v>
      </c>
      <c r="J5" s="8" t="s">
        <v>19</v>
      </c>
      <c r="K5" s="8"/>
    </row>
    <row r="6" spans="1:11">
      <c r="A6" s="11">
        <v>2</v>
      </c>
      <c r="B6" s="12">
        <f t="shared" si="0"/>
        <v>46054</v>
      </c>
      <c r="C6" s="8" t="s">
        <v>15</v>
      </c>
      <c r="D6" s="8"/>
      <c r="E6" s="8" t="s">
        <v>20</v>
      </c>
      <c r="F6" s="8">
        <v>60</v>
      </c>
      <c r="G6" s="8" t="s">
        <v>17</v>
      </c>
      <c r="H6" s="13">
        <f t="shared" si="1"/>
        <v>46056</v>
      </c>
      <c r="I6" s="8" t="s">
        <v>18</v>
      </c>
      <c r="J6" s="8" t="s">
        <v>19</v>
      </c>
      <c r="K6" s="8"/>
    </row>
    <row r="7" spans="1:11">
      <c r="A7" s="11">
        <v>3</v>
      </c>
      <c r="B7" s="12">
        <f t="shared" si="0"/>
        <v>46055</v>
      </c>
      <c r="C7" s="8" t="s">
        <v>15</v>
      </c>
      <c r="D7" s="8"/>
      <c r="E7" s="8" t="s">
        <v>21</v>
      </c>
      <c r="F7" s="8">
        <v>60</v>
      </c>
      <c r="G7" s="8" t="s">
        <v>17</v>
      </c>
      <c r="H7" s="13">
        <f t="shared" si="1"/>
        <v>46057</v>
      </c>
      <c r="I7" s="8" t="s">
        <v>18</v>
      </c>
      <c r="J7" s="8" t="s">
        <v>22</v>
      </c>
      <c r="K7" s="8"/>
    </row>
    <row r="8" spans="1:11">
      <c r="A8" s="11">
        <v>4</v>
      </c>
      <c r="B8" s="12">
        <f t="shared" si="0"/>
        <v>46056</v>
      </c>
      <c r="C8" s="8" t="s">
        <v>15</v>
      </c>
      <c r="D8" s="8"/>
      <c r="E8" s="8" t="s">
        <v>23</v>
      </c>
      <c r="F8" s="8">
        <v>60</v>
      </c>
      <c r="G8" s="8" t="s">
        <v>17</v>
      </c>
      <c r="H8" s="13">
        <f t="shared" si="1"/>
        <v>46058</v>
      </c>
      <c r="I8" s="8" t="s">
        <v>18</v>
      </c>
      <c r="J8" s="8" t="s">
        <v>24</v>
      </c>
      <c r="K8" s="8"/>
    </row>
    <row r="9" spans="1:11">
      <c r="A9" s="11">
        <v>5</v>
      </c>
      <c r="B9" s="12">
        <f t="shared" si="0"/>
        <v>46057</v>
      </c>
      <c r="C9" s="8" t="s">
        <v>15</v>
      </c>
      <c r="D9" s="8"/>
      <c r="E9" s="8" t="s">
        <v>25</v>
      </c>
      <c r="F9" s="8">
        <v>75</v>
      </c>
      <c r="G9" s="8" t="s">
        <v>17</v>
      </c>
      <c r="H9" s="13">
        <f t="shared" si="1"/>
        <v>46059</v>
      </c>
      <c r="I9" s="8" t="s">
        <v>18</v>
      </c>
      <c r="J9" s="8" t="s">
        <v>26</v>
      </c>
      <c r="K9" s="8"/>
    </row>
    <row r="10" ht="27" spans="1:11">
      <c r="A10" s="11">
        <v>6</v>
      </c>
      <c r="B10" s="12">
        <f t="shared" si="0"/>
        <v>46058</v>
      </c>
      <c r="C10" s="8" t="s">
        <v>15</v>
      </c>
      <c r="D10" s="8"/>
      <c r="E10" s="8" t="s">
        <v>27</v>
      </c>
      <c r="F10" s="8">
        <v>90</v>
      </c>
      <c r="G10" s="8" t="s">
        <v>17</v>
      </c>
      <c r="H10" s="13">
        <f t="shared" si="1"/>
        <v>46060</v>
      </c>
      <c r="I10" s="8"/>
      <c r="J10" s="8" t="s">
        <v>28</v>
      </c>
      <c r="K10" s="8"/>
    </row>
    <row r="11" spans="1:11">
      <c r="A11" s="11">
        <v>7</v>
      </c>
      <c r="B11" s="12">
        <f t="shared" si="0"/>
        <v>46059</v>
      </c>
      <c r="C11" s="8" t="s">
        <v>15</v>
      </c>
      <c r="D11" s="8"/>
      <c r="E11" s="8" t="s">
        <v>29</v>
      </c>
      <c r="F11" s="8">
        <v>60</v>
      </c>
      <c r="G11" s="8" t="s">
        <v>17</v>
      </c>
      <c r="H11" s="13">
        <f t="shared" si="1"/>
        <v>46061</v>
      </c>
      <c r="I11" s="8"/>
      <c r="J11" s="8" t="s">
        <v>30</v>
      </c>
      <c r="K11" s="8"/>
    </row>
    <row r="12" spans="1:11">
      <c r="A12" s="11">
        <v>8</v>
      </c>
      <c r="B12" s="12">
        <f t="shared" si="0"/>
        <v>46060</v>
      </c>
      <c r="C12" s="8" t="s">
        <v>31</v>
      </c>
      <c r="D12" s="8" t="s">
        <v>32</v>
      </c>
      <c r="E12" s="8" t="s">
        <v>33</v>
      </c>
      <c r="F12" s="8">
        <v>75</v>
      </c>
      <c r="G12" s="8" t="s">
        <v>17</v>
      </c>
      <c r="H12" s="13">
        <f t="shared" si="1"/>
        <v>46062</v>
      </c>
      <c r="I12" s="8"/>
      <c r="J12" s="8" t="s">
        <v>34</v>
      </c>
      <c r="K12" s="8"/>
    </row>
    <row r="13" spans="1:11">
      <c r="A13" s="11">
        <v>9</v>
      </c>
      <c r="B13" s="12">
        <f t="shared" si="0"/>
        <v>46061</v>
      </c>
      <c r="C13" s="8" t="s">
        <v>31</v>
      </c>
      <c r="D13" s="8" t="s">
        <v>35</v>
      </c>
      <c r="E13" s="8" t="s">
        <v>36</v>
      </c>
      <c r="F13" s="8">
        <v>75</v>
      </c>
      <c r="G13" s="8" t="s">
        <v>17</v>
      </c>
      <c r="H13" s="13">
        <f t="shared" si="1"/>
        <v>46063</v>
      </c>
      <c r="I13" s="8"/>
      <c r="J13" s="8" t="s">
        <v>34</v>
      </c>
      <c r="K13" s="8"/>
    </row>
    <row r="14" spans="1:11">
      <c r="A14" s="11">
        <v>10</v>
      </c>
      <c r="B14" s="12">
        <f t="shared" si="0"/>
        <v>46062</v>
      </c>
      <c r="C14" s="8" t="s">
        <v>31</v>
      </c>
      <c r="D14" s="8"/>
      <c r="E14" s="8" t="s">
        <v>37</v>
      </c>
      <c r="F14" s="8">
        <v>60</v>
      </c>
      <c r="G14" s="8" t="s">
        <v>17</v>
      </c>
      <c r="H14" s="13">
        <f t="shared" si="1"/>
        <v>46064</v>
      </c>
      <c r="I14" s="8"/>
      <c r="J14" s="8" t="s">
        <v>38</v>
      </c>
      <c r="K14" s="8"/>
    </row>
    <row r="15" spans="1:11">
      <c r="A15" s="11">
        <v>11</v>
      </c>
      <c r="B15" s="12">
        <f t="shared" si="0"/>
        <v>46063</v>
      </c>
      <c r="C15" s="8" t="s">
        <v>31</v>
      </c>
      <c r="D15" s="8"/>
      <c r="E15" s="8" t="s">
        <v>39</v>
      </c>
      <c r="F15" s="8">
        <v>90</v>
      </c>
      <c r="G15" s="8" t="s">
        <v>17</v>
      </c>
      <c r="H15" s="13">
        <f t="shared" si="1"/>
        <v>46065</v>
      </c>
      <c r="I15" s="8" t="s">
        <v>18</v>
      </c>
      <c r="J15" s="8" t="s">
        <v>40</v>
      </c>
      <c r="K15" s="8"/>
    </row>
    <row r="16" spans="1:11">
      <c r="A16" s="11">
        <v>12</v>
      </c>
      <c r="B16" s="12">
        <f t="shared" si="0"/>
        <v>46064</v>
      </c>
      <c r="C16" s="8" t="s">
        <v>31</v>
      </c>
      <c r="D16" s="8"/>
      <c r="E16" s="8" t="s">
        <v>41</v>
      </c>
      <c r="F16" s="8">
        <v>90</v>
      </c>
      <c r="G16" s="8" t="s">
        <v>17</v>
      </c>
      <c r="H16" s="13">
        <f t="shared" si="1"/>
        <v>46066</v>
      </c>
      <c r="I16" s="8" t="s">
        <v>18</v>
      </c>
      <c r="J16" s="8" t="s">
        <v>42</v>
      </c>
      <c r="K16" s="8"/>
    </row>
    <row r="17" spans="1:11">
      <c r="A17" s="11">
        <v>13</v>
      </c>
      <c r="B17" s="12">
        <f t="shared" si="0"/>
        <v>46065</v>
      </c>
      <c r="C17" s="8" t="s">
        <v>31</v>
      </c>
      <c r="D17" s="8"/>
      <c r="E17" s="8" t="s">
        <v>43</v>
      </c>
      <c r="F17" s="8">
        <v>90</v>
      </c>
      <c r="G17" s="8" t="s">
        <v>17</v>
      </c>
      <c r="H17" s="13">
        <f t="shared" si="1"/>
        <v>46067</v>
      </c>
      <c r="I17" s="8"/>
      <c r="J17" s="8" t="s">
        <v>44</v>
      </c>
      <c r="K17" s="8"/>
    </row>
    <row r="18" ht="27" spans="1:11">
      <c r="A18" s="11">
        <v>14</v>
      </c>
      <c r="B18" s="12">
        <f t="shared" si="0"/>
        <v>46066</v>
      </c>
      <c r="C18" s="8" t="s">
        <v>31</v>
      </c>
      <c r="D18" s="8"/>
      <c r="E18" s="8" t="s">
        <v>45</v>
      </c>
      <c r="F18" s="8">
        <v>45</v>
      </c>
      <c r="G18" s="8" t="s">
        <v>17</v>
      </c>
      <c r="H18" s="13">
        <f t="shared" si="1"/>
        <v>46068</v>
      </c>
      <c r="I18" s="8"/>
      <c r="J18" s="8" t="s">
        <v>46</v>
      </c>
      <c r="K18" s="8"/>
    </row>
    <row r="19" spans="1:11">
      <c r="A19" s="11">
        <v>15</v>
      </c>
      <c r="B19" s="12">
        <f t="shared" si="0"/>
        <v>46067</v>
      </c>
      <c r="C19" s="8" t="s">
        <v>47</v>
      </c>
      <c r="D19" s="8" t="s">
        <v>48</v>
      </c>
      <c r="E19" s="8" t="s">
        <v>49</v>
      </c>
      <c r="F19" s="8">
        <v>75</v>
      </c>
      <c r="G19" s="8" t="s">
        <v>17</v>
      </c>
      <c r="H19" s="13">
        <f t="shared" si="1"/>
        <v>46069</v>
      </c>
      <c r="I19" s="8"/>
      <c r="J19" s="8" t="s">
        <v>50</v>
      </c>
      <c r="K19" s="8"/>
    </row>
    <row r="20" spans="1:11">
      <c r="A20" s="11">
        <v>16</v>
      </c>
      <c r="B20" s="12">
        <f t="shared" si="0"/>
        <v>46068</v>
      </c>
      <c r="C20" s="8" t="s">
        <v>47</v>
      </c>
      <c r="D20" s="8"/>
      <c r="E20" s="8" t="s">
        <v>51</v>
      </c>
      <c r="F20" s="8">
        <v>60</v>
      </c>
      <c r="G20" s="8" t="s">
        <v>17</v>
      </c>
      <c r="H20" s="13">
        <f t="shared" si="1"/>
        <v>46070</v>
      </c>
      <c r="I20" s="8"/>
      <c r="J20" s="8" t="s">
        <v>52</v>
      </c>
      <c r="K20" s="8"/>
    </row>
    <row r="21" ht="27" spans="1:11">
      <c r="A21" s="11">
        <v>17</v>
      </c>
      <c r="B21" s="12">
        <f t="shared" si="0"/>
        <v>46069</v>
      </c>
      <c r="C21" s="8" t="s">
        <v>53</v>
      </c>
      <c r="D21" s="8" t="s">
        <v>54</v>
      </c>
      <c r="E21" s="8" t="s">
        <v>55</v>
      </c>
      <c r="F21" s="8">
        <v>75</v>
      </c>
      <c r="G21" s="8" t="s">
        <v>17</v>
      </c>
      <c r="H21" s="13">
        <f t="shared" si="1"/>
        <v>46071</v>
      </c>
      <c r="I21" s="8"/>
      <c r="J21" s="8" t="s">
        <v>56</v>
      </c>
      <c r="K21" s="8"/>
    </row>
    <row r="22" spans="1:11">
      <c r="A22" s="11">
        <v>18</v>
      </c>
      <c r="B22" s="12">
        <f t="shared" si="0"/>
        <v>46070</v>
      </c>
      <c r="C22" s="8" t="s">
        <v>53</v>
      </c>
      <c r="D22" s="8"/>
      <c r="E22" s="8" t="s">
        <v>57</v>
      </c>
      <c r="F22" s="8">
        <v>90</v>
      </c>
      <c r="G22" s="8" t="s">
        <v>17</v>
      </c>
      <c r="H22" s="13">
        <f t="shared" si="1"/>
        <v>46072</v>
      </c>
      <c r="I22" s="8"/>
      <c r="J22" s="8" t="s">
        <v>58</v>
      </c>
      <c r="K22" s="8"/>
    </row>
    <row r="23" spans="1:11">
      <c r="A23" s="11">
        <v>19</v>
      </c>
      <c r="B23" s="12">
        <f t="shared" si="0"/>
        <v>46071</v>
      </c>
      <c r="C23" s="8" t="s">
        <v>53</v>
      </c>
      <c r="D23" s="8"/>
      <c r="E23" s="8" t="s">
        <v>59</v>
      </c>
      <c r="F23" s="8">
        <v>90</v>
      </c>
      <c r="G23" s="8" t="s">
        <v>17</v>
      </c>
      <c r="H23" s="13">
        <f t="shared" si="1"/>
        <v>46073</v>
      </c>
      <c r="I23" s="8"/>
      <c r="J23" s="8" t="s">
        <v>60</v>
      </c>
      <c r="K23" s="8"/>
    </row>
    <row r="24" spans="1:11">
      <c r="A24" s="11">
        <v>20</v>
      </c>
      <c r="B24" s="12">
        <f t="shared" si="0"/>
        <v>46072</v>
      </c>
      <c r="C24" s="8" t="s">
        <v>53</v>
      </c>
      <c r="D24" s="8"/>
      <c r="E24" s="8" t="s">
        <v>61</v>
      </c>
      <c r="F24" s="8">
        <v>90</v>
      </c>
      <c r="G24" s="8" t="s">
        <v>17</v>
      </c>
      <c r="H24" s="13">
        <f t="shared" si="1"/>
        <v>46074</v>
      </c>
      <c r="I24" s="8"/>
      <c r="J24" s="8" t="s">
        <v>62</v>
      </c>
      <c r="K24" s="8"/>
    </row>
    <row r="25" spans="1:11">
      <c r="A25" s="11">
        <v>21</v>
      </c>
      <c r="B25" s="12">
        <f t="shared" si="0"/>
        <v>46073</v>
      </c>
      <c r="C25" s="8" t="s">
        <v>63</v>
      </c>
      <c r="D25" s="8"/>
      <c r="E25" s="8" t="s">
        <v>64</v>
      </c>
      <c r="F25" s="8">
        <v>60</v>
      </c>
      <c r="G25" s="8" t="s">
        <v>17</v>
      </c>
      <c r="H25" s="13">
        <f t="shared" si="1"/>
        <v>46075</v>
      </c>
      <c r="I25" s="8"/>
      <c r="J25" s="8" t="s">
        <v>65</v>
      </c>
      <c r="K25" s="8"/>
    </row>
    <row r="26" spans="1:11">
      <c r="A26" s="11">
        <v>22</v>
      </c>
      <c r="B26" s="12">
        <f t="shared" si="0"/>
        <v>46074</v>
      </c>
      <c r="C26" s="8" t="s">
        <v>66</v>
      </c>
      <c r="D26" s="8" t="s">
        <v>67</v>
      </c>
      <c r="E26" s="8" t="s">
        <v>68</v>
      </c>
      <c r="F26" s="8">
        <v>75</v>
      </c>
      <c r="G26" s="8" t="s">
        <v>17</v>
      </c>
      <c r="H26" s="13">
        <f t="shared" si="1"/>
        <v>46076</v>
      </c>
      <c r="I26" s="8"/>
      <c r="J26" s="8" t="s">
        <v>69</v>
      </c>
      <c r="K26" s="8"/>
    </row>
    <row r="27" spans="1:11">
      <c r="A27" s="11">
        <v>23</v>
      </c>
      <c r="B27" s="12">
        <f t="shared" si="0"/>
        <v>46075</v>
      </c>
      <c r="C27" s="8" t="s">
        <v>66</v>
      </c>
      <c r="D27" s="8"/>
      <c r="E27" s="8" t="s">
        <v>70</v>
      </c>
      <c r="F27" s="8">
        <v>45</v>
      </c>
      <c r="G27" s="8" t="s">
        <v>17</v>
      </c>
      <c r="H27" s="13">
        <f t="shared" si="1"/>
        <v>46077</v>
      </c>
      <c r="I27" s="8"/>
      <c r="J27" s="8" t="s">
        <v>71</v>
      </c>
      <c r="K27" s="8"/>
    </row>
    <row r="28" spans="1:11">
      <c r="A28" s="11">
        <v>24</v>
      </c>
      <c r="B28" s="12">
        <f t="shared" si="0"/>
        <v>46076</v>
      </c>
      <c r="C28" s="8" t="s">
        <v>72</v>
      </c>
      <c r="D28" s="8" t="s">
        <v>73</v>
      </c>
      <c r="E28" s="8" t="s">
        <v>74</v>
      </c>
      <c r="F28" s="8">
        <v>75</v>
      </c>
      <c r="G28" s="8" t="s">
        <v>17</v>
      </c>
      <c r="H28" s="13">
        <f t="shared" si="1"/>
        <v>46078</v>
      </c>
      <c r="I28" s="8"/>
      <c r="J28" s="8" t="s">
        <v>75</v>
      </c>
      <c r="K28" s="8"/>
    </row>
    <row r="29" spans="1:11">
      <c r="A29" s="11">
        <v>25</v>
      </c>
      <c r="B29" s="12">
        <f t="shared" si="0"/>
        <v>46077</v>
      </c>
      <c r="C29" s="8" t="s">
        <v>72</v>
      </c>
      <c r="D29" s="8"/>
      <c r="E29" s="8" t="s">
        <v>76</v>
      </c>
      <c r="F29" s="8">
        <v>90</v>
      </c>
      <c r="G29" s="8" t="s">
        <v>17</v>
      </c>
      <c r="H29" s="13">
        <f t="shared" si="1"/>
        <v>46079</v>
      </c>
      <c r="I29" s="8"/>
      <c r="J29" s="8"/>
      <c r="K29" s="8"/>
    </row>
    <row r="30" spans="1:11">
      <c r="A30" s="11">
        <v>26</v>
      </c>
      <c r="B30" s="12">
        <f t="shared" si="0"/>
        <v>46078</v>
      </c>
      <c r="C30" s="8" t="s">
        <v>72</v>
      </c>
      <c r="D30" s="8"/>
      <c r="E30" s="8" t="s">
        <v>77</v>
      </c>
      <c r="F30" s="8">
        <v>90</v>
      </c>
      <c r="G30" s="8" t="s">
        <v>17</v>
      </c>
      <c r="H30" s="13">
        <f t="shared" si="1"/>
        <v>46080</v>
      </c>
      <c r="I30" s="8"/>
      <c r="J30" s="8" t="s">
        <v>78</v>
      </c>
      <c r="K30" s="8"/>
    </row>
    <row r="31" spans="1:11">
      <c r="A31" s="11">
        <v>27</v>
      </c>
      <c r="B31" s="12">
        <f t="shared" si="0"/>
        <v>46079</v>
      </c>
      <c r="C31" s="8" t="s">
        <v>79</v>
      </c>
      <c r="D31" s="8"/>
      <c r="E31" s="8" t="s">
        <v>80</v>
      </c>
      <c r="F31" s="8">
        <v>75</v>
      </c>
      <c r="G31" s="8" t="s">
        <v>17</v>
      </c>
      <c r="H31" s="13">
        <f t="shared" si="1"/>
        <v>46081</v>
      </c>
      <c r="I31" s="8"/>
      <c r="J31" s="8" t="s">
        <v>81</v>
      </c>
      <c r="K31" s="8"/>
    </row>
    <row r="32" spans="1:11">
      <c r="A32" s="11">
        <v>28</v>
      </c>
      <c r="B32" s="12">
        <f t="shared" si="0"/>
        <v>46080</v>
      </c>
      <c r="C32" s="8" t="s">
        <v>82</v>
      </c>
      <c r="D32" s="8"/>
      <c r="E32" s="8" t="s">
        <v>83</v>
      </c>
      <c r="F32" s="8">
        <v>45</v>
      </c>
      <c r="G32" s="8" t="s">
        <v>17</v>
      </c>
      <c r="H32" s="13">
        <f t="shared" si="1"/>
        <v>46082</v>
      </c>
      <c r="I32" s="8"/>
      <c r="J32" s="8" t="s">
        <v>84</v>
      </c>
      <c r="K32" s="8"/>
    </row>
    <row r="33" spans="1:11">
      <c r="A33" s="11">
        <v>29</v>
      </c>
      <c r="B33" s="12">
        <f t="shared" si="0"/>
        <v>46081</v>
      </c>
      <c r="C33" s="8" t="s">
        <v>85</v>
      </c>
      <c r="D33" s="8" t="s">
        <v>86</v>
      </c>
      <c r="E33" s="8" t="s">
        <v>87</v>
      </c>
      <c r="F33" s="8">
        <v>75</v>
      </c>
      <c r="G33" s="8" t="s">
        <v>17</v>
      </c>
      <c r="H33" s="13">
        <f t="shared" si="1"/>
        <v>46083</v>
      </c>
      <c r="I33" s="8"/>
      <c r="J33" s="8" t="s">
        <v>88</v>
      </c>
      <c r="K33" s="8"/>
    </row>
    <row r="34" spans="1:11">
      <c r="A34" s="11">
        <v>30</v>
      </c>
      <c r="B34" s="12">
        <f t="shared" si="0"/>
        <v>46082</v>
      </c>
      <c r="C34" s="8" t="s">
        <v>85</v>
      </c>
      <c r="D34" s="8"/>
      <c r="E34" s="8" t="s">
        <v>89</v>
      </c>
      <c r="F34" s="8">
        <v>75</v>
      </c>
      <c r="G34" s="8" t="s">
        <v>17</v>
      </c>
      <c r="H34" s="13">
        <f t="shared" si="1"/>
        <v>46084</v>
      </c>
      <c r="I34" s="8"/>
      <c r="J34" s="8" t="s">
        <v>90</v>
      </c>
      <c r="K34" s="8"/>
    </row>
    <row r="35" spans="1:11">
      <c r="A35" s="11">
        <v>31</v>
      </c>
      <c r="B35" s="12">
        <f t="shared" si="0"/>
        <v>46083</v>
      </c>
      <c r="C35" s="8" t="s">
        <v>91</v>
      </c>
      <c r="D35" s="8"/>
      <c r="E35" s="8" t="s">
        <v>92</v>
      </c>
      <c r="F35" s="8">
        <v>60</v>
      </c>
      <c r="G35" s="8" t="s">
        <v>17</v>
      </c>
      <c r="H35" s="13">
        <f t="shared" si="1"/>
        <v>46085</v>
      </c>
      <c r="I35" s="8"/>
      <c r="J35" s="8" t="s">
        <v>93</v>
      </c>
      <c r="K35" s="8"/>
    </row>
    <row r="36" spans="1:11">
      <c r="A36" s="11">
        <v>32</v>
      </c>
      <c r="B36" s="12">
        <f t="shared" si="0"/>
        <v>46084</v>
      </c>
      <c r="C36" s="8" t="s">
        <v>79</v>
      </c>
      <c r="D36" s="8"/>
      <c r="E36" s="8" t="s">
        <v>94</v>
      </c>
      <c r="F36" s="8">
        <v>90</v>
      </c>
      <c r="G36" s="8" t="s">
        <v>17</v>
      </c>
      <c r="H36" s="13">
        <f t="shared" si="1"/>
        <v>46086</v>
      </c>
      <c r="I36" s="8"/>
      <c r="J36" s="8" t="s">
        <v>95</v>
      </c>
      <c r="K36" s="8"/>
    </row>
    <row r="37" spans="1:11">
      <c r="A37" s="11">
        <v>33</v>
      </c>
      <c r="B37" s="12">
        <f t="shared" ref="B37:B56" si="2">IF($B$2="","",$B$2+A37-1)</f>
        <v>46085</v>
      </c>
      <c r="C37" s="8" t="s">
        <v>79</v>
      </c>
      <c r="D37" s="8" t="s">
        <v>96</v>
      </c>
      <c r="E37" s="8" t="s">
        <v>97</v>
      </c>
      <c r="F37" s="8">
        <v>90</v>
      </c>
      <c r="G37" s="8" t="s">
        <v>17</v>
      </c>
      <c r="H37" s="13">
        <f t="shared" ref="H37:H56" si="3">IF(G37="Done",B37+2,"")</f>
        <v>46087</v>
      </c>
      <c r="I37" s="8"/>
      <c r="J37" s="8" t="s">
        <v>95</v>
      </c>
      <c r="K37" s="8"/>
    </row>
    <row r="38" spans="1:11">
      <c r="A38" s="11">
        <v>34</v>
      </c>
      <c r="B38" s="12">
        <f t="shared" si="2"/>
        <v>46086</v>
      </c>
      <c r="C38" s="8" t="s">
        <v>79</v>
      </c>
      <c r="D38" s="8" t="s">
        <v>98</v>
      </c>
      <c r="E38" s="8" t="s">
        <v>99</v>
      </c>
      <c r="F38" s="8">
        <v>90</v>
      </c>
      <c r="G38" s="8" t="s">
        <v>17</v>
      </c>
      <c r="H38" s="13">
        <f t="shared" si="3"/>
        <v>46088</v>
      </c>
      <c r="I38" s="8"/>
      <c r="J38" s="8" t="s">
        <v>95</v>
      </c>
      <c r="K38" s="8"/>
    </row>
    <row r="39" spans="1:11">
      <c r="A39" s="11">
        <v>35</v>
      </c>
      <c r="B39" s="12">
        <f t="shared" si="2"/>
        <v>46087</v>
      </c>
      <c r="C39" s="8" t="s">
        <v>79</v>
      </c>
      <c r="D39" s="8"/>
      <c r="E39" s="8" t="s">
        <v>100</v>
      </c>
      <c r="F39" s="8">
        <v>60</v>
      </c>
      <c r="G39" s="8" t="s">
        <v>17</v>
      </c>
      <c r="H39" s="13">
        <f t="shared" si="3"/>
        <v>46089</v>
      </c>
      <c r="I39" s="8"/>
      <c r="J39" s="8" t="s">
        <v>95</v>
      </c>
      <c r="K39" s="8"/>
    </row>
    <row r="40" spans="1:11">
      <c r="A40" s="11">
        <v>36</v>
      </c>
      <c r="B40" s="12">
        <f t="shared" si="2"/>
        <v>46088</v>
      </c>
      <c r="C40" s="8" t="s">
        <v>79</v>
      </c>
      <c r="D40" s="8"/>
      <c r="E40" s="8" t="s">
        <v>101</v>
      </c>
      <c r="F40" s="8">
        <v>90</v>
      </c>
      <c r="G40" s="8" t="s">
        <v>17</v>
      </c>
      <c r="H40" s="13">
        <f t="shared" si="3"/>
        <v>46090</v>
      </c>
      <c r="I40" s="8"/>
      <c r="J40" s="8" t="s">
        <v>102</v>
      </c>
      <c r="K40" s="8"/>
    </row>
    <row r="41" spans="1:11">
      <c r="A41" s="11">
        <v>37</v>
      </c>
      <c r="B41" s="12">
        <f t="shared" si="2"/>
        <v>46089</v>
      </c>
      <c r="C41" s="8" t="s">
        <v>31</v>
      </c>
      <c r="D41" s="8"/>
      <c r="E41" s="8" t="s">
        <v>103</v>
      </c>
      <c r="F41" s="8">
        <v>60</v>
      </c>
      <c r="G41" s="8" t="s">
        <v>17</v>
      </c>
      <c r="H41" s="13">
        <f t="shared" si="3"/>
        <v>46091</v>
      </c>
      <c r="I41" s="8"/>
      <c r="J41" s="8" t="s">
        <v>102</v>
      </c>
      <c r="K41" s="8"/>
    </row>
    <row r="42" spans="1:11">
      <c r="A42" s="11">
        <v>38</v>
      </c>
      <c r="B42" s="12">
        <f t="shared" si="2"/>
        <v>46090</v>
      </c>
      <c r="C42" s="8" t="s">
        <v>79</v>
      </c>
      <c r="D42" s="8"/>
      <c r="E42" s="8" t="s">
        <v>104</v>
      </c>
      <c r="F42" s="8">
        <v>75</v>
      </c>
      <c r="G42" s="8" t="s">
        <v>17</v>
      </c>
      <c r="H42" s="13">
        <f t="shared" si="3"/>
        <v>46092</v>
      </c>
      <c r="I42" s="8"/>
      <c r="J42" s="8" t="s">
        <v>105</v>
      </c>
      <c r="K42" s="8"/>
    </row>
    <row r="43" spans="1:11">
      <c r="A43" s="11">
        <v>39</v>
      </c>
      <c r="B43" s="12">
        <f t="shared" si="2"/>
        <v>46091</v>
      </c>
      <c r="C43" s="8" t="s">
        <v>31</v>
      </c>
      <c r="D43" s="8"/>
      <c r="E43" s="8" t="s">
        <v>106</v>
      </c>
      <c r="F43" s="8">
        <v>60</v>
      </c>
      <c r="G43" s="8" t="s">
        <v>17</v>
      </c>
      <c r="H43" s="13">
        <f t="shared" si="3"/>
        <v>46093</v>
      </c>
      <c r="I43" s="8"/>
      <c r="J43" s="8" t="s">
        <v>107</v>
      </c>
      <c r="K43" s="8"/>
    </row>
    <row r="44" spans="1:11">
      <c r="A44" s="11">
        <v>40</v>
      </c>
      <c r="B44" s="12">
        <f t="shared" si="2"/>
        <v>46092</v>
      </c>
      <c r="C44" s="8" t="s">
        <v>82</v>
      </c>
      <c r="D44" s="8"/>
      <c r="E44" s="8" t="s">
        <v>108</v>
      </c>
      <c r="F44" s="8">
        <v>60</v>
      </c>
      <c r="G44" s="8" t="s">
        <v>17</v>
      </c>
      <c r="H44" s="13">
        <f t="shared" si="3"/>
        <v>46094</v>
      </c>
      <c r="I44" s="8"/>
      <c r="J44" s="8" t="s">
        <v>107</v>
      </c>
      <c r="K44" s="8"/>
    </row>
    <row r="45" spans="1:11">
      <c r="A45" s="11">
        <v>41</v>
      </c>
      <c r="B45" s="12">
        <f t="shared" si="2"/>
        <v>46093</v>
      </c>
      <c r="C45" s="8" t="s">
        <v>31</v>
      </c>
      <c r="D45" s="8"/>
      <c r="E45" s="8" t="s">
        <v>109</v>
      </c>
      <c r="F45" s="8">
        <v>60</v>
      </c>
      <c r="G45" s="8" t="s">
        <v>17</v>
      </c>
      <c r="H45" s="13">
        <f t="shared" si="3"/>
        <v>46095</v>
      </c>
      <c r="I45" s="8"/>
      <c r="J45" s="8" t="s">
        <v>107</v>
      </c>
      <c r="K45" s="8"/>
    </row>
    <row r="46" ht="27" spans="1:11">
      <c r="A46" s="11">
        <v>42</v>
      </c>
      <c r="B46" s="12">
        <f t="shared" si="2"/>
        <v>46094</v>
      </c>
      <c r="C46" s="8" t="s">
        <v>110</v>
      </c>
      <c r="D46" s="8"/>
      <c r="E46" s="8" t="s">
        <v>111</v>
      </c>
      <c r="F46" s="8">
        <v>75</v>
      </c>
      <c r="G46" s="8" t="s">
        <v>17</v>
      </c>
      <c r="H46" s="13">
        <f t="shared" si="3"/>
        <v>46096</v>
      </c>
      <c r="I46" s="8"/>
      <c r="J46" s="8" t="s">
        <v>112</v>
      </c>
      <c r="K46" s="8"/>
    </row>
    <row r="47" spans="1:11">
      <c r="A47" s="11">
        <v>43</v>
      </c>
      <c r="B47" s="12">
        <f t="shared" si="2"/>
        <v>46095</v>
      </c>
      <c r="C47" s="8" t="s">
        <v>110</v>
      </c>
      <c r="D47" s="8"/>
      <c r="E47" s="8" t="s">
        <v>113</v>
      </c>
      <c r="F47" s="8">
        <v>90</v>
      </c>
      <c r="G47" s="8" t="s">
        <v>17</v>
      </c>
      <c r="H47" s="13">
        <f t="shared" si="3"/>
        <v>46097</v>
      </c>
      <c r="I47" s="8"/>
      <c r="J47" s="8"/>
      <c r="K47" s="8"/>
    </row>
    <row r="48" spans="1:11">
      <c r="A48" s="11">
        <v>44</v>
      </c>
      <c r="B48" s="12">
        <f t="shared" si="2"/>
        <v>46096</v>
      </c>
      <c r="C48" s="8" t="s">
        <v>110</v>
      </c>
      <c r="D48" s="8"/>
      <c r="E48" s="8" t="s">
        <v>114</v>
      </c>
      <c r="F48" s="8">
        <v>90</v>
      </c>
      <c r="G48" s="8" t="s">
        <v>17</v>
      </c>
      <c r="H48" s="13">
        <f t="shared" si="3"/>
        <v>46098</v>
      </c>
      <c r="I48" s="8"/>
      <c r="J48" s="8" t="s">
        <v>115</v>
      </c>
      <c r="K48" s="8"/>
    </row>
    <row r="49" spans="1:11">
      <c r="A49" s="11">
        <v>45</v>
      </c>
      <c r="B49" s="12">
        <f t="shared" si="2"/>
        <v>46097</v>
      </c>
      <c r="C49" s="8" t="s">
        <v>82</v>
      </c>
      <c r="D49" s="8"/>
      <c r="E49" s="8" t="s">
        <v>116</v>
      </c>
      <c r="F49" s="8">
        <v>60</v>
      </c>
      <c r="G49" s="8" t="s">
        <v>17</v>
      </c>
      <c r="H49" s="13">
        <f t="shared" si="3"/>
        <v>46099</v>
      </c>
      <c r="I49" s="8"/>
      <c r="J49" s="8"/>
      <c r="K49" s="8"/>
    </row>
    <row r="50" spans="1:11">
      <c r="A50" s="11">
        <v>46</v>
      </c>
      <c r="B50" s="12">
        <f t="shared" si="2"/>
        <v>46098</v>
      </c>
      <c r="C50" s="8" t="s">
        <v>82</v>
      </c>
      <c r="D50" s="8"/>
      <c r="E50" s="8" t="s">
        <v>117</v>
      </c>
      <c r="F50" s="8">
        <v>60</v>
      </c>
      <c r="G50" s="8" t="s">
        <v>17</v>
      </c>
      <c r="H50" s="13">
        <f t="shared" si="3"/>
        <v>46100</v>
      </c>
      <c r="I50" s="8"/>
      <c r="J50" s="14" t="s">
        <v>118</v>
      </c>
      <c r="K50" s="8"/>
    </row>
    <row r="51" spans="1:11">
      <c r="A51" s="11">
        <v>47</v>
      </c>
      <c r="B51" s="12">
        <f t="shared" si="2"/>
        <v>46099</v>
      </c>
      <c r="C51" s="8" t="s">
        <v>15</v>
      </c>
      <c r="D51" s="8"/>
      <c r="E51" s="8" t="s">
        <v>119</v>
      </c>
      <c r="F51" s="8">
        <v>90</v>
      </c>
      <c r="G51" s="8" t="s">
        <v>17</v>
      </c>
      <c r="H51" s="13">
        <f t="shared" si="3"/>
        <v>46101</v>
      </c>
      <c r="I51" s="8"/>
      <c r="J51" s="14" t="s">
        <v>120</v>
      </c>
      <c r="K51" s="8"/>
    </row>
    <row r="52" spans="1:11">
      <c r="A52" s="11">
        <v>48</v>
      </c>
      <c r="B52" s="12">
        <f t="shared" si="2"/>
        <v>46100</v>
      </c>
      <c r="C52" s="8" t="s">
        <v>79</v>
      </c>
      <c r="D52" s="8"/>
      <c r="E52" s="8" t="s">
        <v>121</v>
      </c>
      <c r="F52" s="8">
        <v>60</v>
      </c>
      <c r="G52" s="8" t="s">
        <v>17</v>
      </c>
      <c r="H52" s="13">
        <f t="shared" si="3"/>
        <v>46102</v>
      </c>
      <c r="I52" s="8"/>
      <c r="J52" s="14" t="s">
        <v>122</v>
      </c>
      <c r="K52" s="8"/>
    </row>
    <row r="53" spans="1:11">
      <c r="A53" s="11">
        <v>49</v>
      </c>
      <c r="B53" s="12">
        <f t="shared" si="2"/>
        <v>46101</v>
      </c>
      <c r="C53" s="8" t="s">
        <v>79</v>
      </c>
      <c r="D53" s="8"/>
      <c r="E53" s="8" t="s">
        <v>123</v>
      </c>
      <c r="F53" s="8">
        <v>90</v>
      </c>
      <c r="G53" s="8" t="s">
        <v>17</v>
      </c>
      <c r="H53" s="13">
        <f t="shared" si="3"/>
        <v>46103</v>
      </c>
      <c r="I53" s="8"/>
      <c r="J53" s="14" t="s">
        <v>124</v>
      </c>
      <c r="K53" s="8"/>
    </row>
    <row r="54" spans="1:11">
      <c r="A54" s="11">
        <v>50</v>
      </c>
      <c r="B54" s="12">
        <f t="shared" si="2"/>
        <v>46102</v>
      </c>
      <c r="C54" s="8" t="s">
        <v>79</v>
      </c>
      <c r="D54" s="8"/>
      <c r="E54" s="8" t="s">
        <v>125</v>
      </c>
      <c r="F54" s="8">
        <v>90</v>
      </c>
      <c r="G54" s="8" t="s">
        <v>17</v>
      </c>
      <c r="H54" s="13">
        <f t="shared" si="3"/>
        <v>46104</v>
      </c>
      <c r="I54" s="8"/>
      <c r="J54" s="14" t="s">
        <v>126</v>
      </c>
      <c r="K54" s="8"/>
    </row>
    <row r="55" spans="1:11">
      <c r="A55" s="11">
        <v>51</v>
      </c>
      <c r="B55" s="12">
        <f t="shared" si="2"/>
        <v>46103</v>
      </c>
      <c r="C55" s="8" t="s">
        <v>53</v>
      </c>
      <c r="D55" s="8"/>
      <c r="E55" s="8" t="s">
        <v>127</v>
      </c>
      <c r="F55" s="8">
        <v>60</v>
      </c>
      <c r="G55" s="8" t="s">
        <v>17</v>
      </c>
      <c r="H55" s="13">
        <f t="shared" si="3"/>
        <v>46105</v>
      </c>
      <c r="I55" s="8"/>
      <c r="J55" s="14" t="s">
        <v>128</v>
      </c>
      <c r="K55" s="8"/>
    </row>
    <row r="56" ht="27" spans="1:11">
      <c r="A56" s="11">
        <v>52</v>
      </c>
      <c r="B56" s="12">
        <f t="shared" si="2"/>
        <v>46104</v>
      </c>
      <c r="C56" s="8" t="s">
        <v>110</v>
      </c>
      <c r="D56" s="8"/>
      <c r="E56" s="8" t="s">
        <v>129</v>
      </c>
      <c r="F56" s="8">
        <v>45</v>
      </c>
      <c r="G56" s="8" t="s">
        <v>17</v>
      </c>
      <c r="H56" s="13">
        <f t="shared" si="3"/>
        <v>46106</v>
      </c>
      <c r="I56" s="8"/>
      <c r="J56" s="8"/>
      <c r="K56" s="8"/>
    </row>
  </sheetData>
  <autoFilter ref="A4:K56">
    <extLst/>
  </autoFilter>
  <mergeCells count="1">
    <mergeCell ref="A1:K1"/>
  </mergeCells>
  <conditionalFormatting sqref="A5:K56">
    <cfRule type="expression" dxfId="0" priority="1">
      <formula>$G5="Done"</formula>
    </cfRule>
    <cfRule type="expression" dxfId="1" priority="2">
      <formula>$G5="In Progress"</formula>
    </cfRule>
    <cfRule type="expression" dxfId="2" priority="3">
      <formula>$G5="Not Started"</formula>
    </cfRule>
  </conditionalFormatting>
  <dataValidations count="2">
    <dataValidation type="list" sqref="G5:G56">
      <formula1>"Not Started,In Progress,Done"</formula1>
    </dataValidation>
    <dataValidation type="list" allowBlank="1" sqref="I5:I56">
      <formula1>"No,Yes"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showGridLines="0" workbookViewId="0">
      <pane ySplit="3" topLeftCell="A4" activePane="bottomLeft" state="frozen"/>
      <selection/>
      <selection pane="bottomLeft" activeCell="A1" sqref="A1:F1"/>
    </sheetView>
  </sheetViews>
  <sheetFormatPr defaultColWidth="9" defaultRowHeight="13.5" outlineLevelCol="5"/>
  <cols>
    <col min="1" max="1" width="9" customWidth="1"/>
    <col min="2" max="2" width="8" customWidth="1"/>
    <col min="3" max="3" width="14" customWidth="1"/>
    <col min="4" max="4" width="22" customWidth="1"/>
    <col min="5" max="5" width="18" customWidth="1"/>
    <col min="6" max="6" width="32" customWidth="1"/>
  </cols>
  <sheetData>
    <row r="1" ht="18.75" spans="1:1">
      <c r="A1" s="1" t="s">
        <v>130</v>
      </c>
    </row>
    <row r="2" spans="1:2">
      <c r="A2" s="5" t="s">
        <v>131</v>
      </c>
      <c r="B2" s="6">
        <f>'Daily Plan'!B2</f>
        <v>46053</v>
      </c>
    </row>
    <row r="3" ht="27" spans="1:6">
      <c r="A3" s="7" t="s">
        <v>132</v>
      </c>
      <c r="B3" s="7" t="s">
        <v>133</v>
      </c>
      <c r="C3" s="7" t="s">
        <v>134</v>
      </c>
      <c r="D3" s="7" t="s">
        <v>135</v>
      </c>
      <c r="E3" s="7" t="s">
        <v>136</v>
      </c>
      <c r="F3" s="7" t="s">
        <v>13</v>
      </c>
    </row>
    <row r="4" spans="1:6">
      <c r="A4" s="8">
        <v>1</v>
      </c>
      <c r="B4" s="8" t="s">
        <v>137</v>
      </c>
      <c r="C4" s="8" t="s">
        <v>138</v>
      </c>
      <c r="D4" s="8" t="str">
        <f>IF($B$2="","",TEXT($B$2+2-1,"yyyy-mm-dd"))</f>
        <v>2026-02-01</v>
      </c>
      <c r="E4" s="8" t="s">
        <v>15</v>
      </c>
      <c r="F4" s="8"/>
    </row>
    <row r="5" spans="1:6">
      <c r="A5" s="8">
        <v>2</v>
      </c>
      <c r="B5" s="8" t="s">
        <v>137</v>
      </c>
      <c r="C5" s="8" t="s">
        <v>139</v>
      </c>
      <c r="D5" s="8" t="str">
        <f>IF($B$2="","",TEXT($B$2+1-1,"yyyy-mm-dd"))</f>
        <v>2026-01-31</v>
      </c>
      <c r="E5" s="8" t="s">
        <v>15</v>
      </c>
      <c r="F5" s="8"/>
    </row>
    <row r="6" spans="1:6">
      <c r="A6" s="8">
        <v>3</v>
      </c>
      <c r="B6" s="8" t="s">
        <v>137</v>
      </c>
      <c r="C6" s="8" t="s">
        <v>140</v>
      </c>
      <c r="D6" s="8" t="str">
        <f>IF($B$2="","",TEXT($B$2+3-1,"yyyy-mm-dd"))</f>
        <v>2026-02-02</v>
      </c>
      <c r="E6" s="8" t="s">
        <v>15</v>
      </c>
      <c r="F6" s="8"/>
    </row>
    <row r="7" spans="1:6">
      <c r="A7" s="8">
        <v>4</v>
      </c>
      <c r="B7" s="8" t="s">
        <v>137</v>
      </c>
      <c r="C7" s="8" t="s">
        <v>139</v>
      </c>
      <c r="D7" s="8" t="str">
        <f>IF($B$2="","",TEXT($B$2+1-1,"yyyy-mm-dd"))</f>
        <v>2026-01-31</v>
      </c>
      <c r="E7" s="8" t="s">
        <v>15</v>
      </c>
      <c r="F7" s="8"/>
    </row>
    <row r="8" ht="27" spans="1:6">
      <c r="A8" s="8">
        <v>5</v>
      </c>
      <c r="B8" s="8" t="s">
        <v>137</v>
      </c>
      <c r="C8" s="8" t="s">
        <v>141</v>
      </c>
      <c r="D8" s="8" t="str">
        <f>IF($B$2="","",TEXT($B$2+4-1,"yyyy-mm-dd")&amp;" – "&amp;TEXT($B$2+5-1,"yyyy-mm-dd"))</f>
        <v>2026-02-03 – 2026-02-04</v>
      </c>
      <c r="E8" s="8" t="s">
        <v>15</v>
      </c>
      <c r="F8" s="8"/>
    </row>
    <row r="9" ht="27" spans="1:6">
      <c r="A9" s="8">
        <v>6</v>
      </c>
      <c r="B9" s="8" t="s">
        <v>137</v>
      </c>
      <c r="C9" s="8" t="s">
        <v>142</v>
      </c>
      <c r="D9" s="8" t="str">
        <f>IF($B$2="","",TEXT($B$2+6-1,"yyyy-mm-dd")&amp;" – "&amp;TEXT($B$2+16-1,"yyyy-mm-dd"))</f>
        <v>2026-02-05 – 2026-02-15</v>
      </c>
      <c r="E9" s="8" t="s">
        <v>143</v>
      </c>
      <c r="F9" s="8"/>
    </row>
    <row r="10" spans="1:6">
      <c r="A10" s="8">
        <v>7</v>
      </c>
      <c r="B10" s="8" t="s">
        <v>137</v>
      </c>
      <c r="C10" s="8" t="s">
        <v>144</v>
      </c>
      <c r="D10" s="8" t="str">
        <f>IF($B$2="","",TEXT($B$2+9-1,"yyyy-mm-dd"))</f>
        <v>2026-02-08</v>
      </c>
      <c r="E10" s="8" t="s">
        <v>31</v>
      </c>
      <c r="F10" s="8"/>
    </row>
    <row r="11" spans="1:6">
      <c r="A11" s="8">
        <v>8</v>
      </c>
      <c r="B11" s="8" t="s">
        <v>137</v>
      </c>
      <c r="C11" s="8" t="s">
        <v>145</v>
      </c>
      <c r="D11" s="8" t="str">
        <f>IF($B$2="","",TEXT($B$2+10-1,"yyyy-mm-dd"))</f>
        <v>2026-02-09</v>
      </c>
      <c r="E11" s="8" t="s">
        <v>31</v>
      </c>
      <c r="F11" s="8"/>
    </row>
    <row r="12" spans="1:6">
      <c r="A12" s="8">
        <v>9</v>
      </c>
      <c r="B12" s="8" t="s">
        <v>137</v>
      </c>
      <c r="C12" s="8" t="s">
        <v>146</v>
      </c>
      <c r="D12" s="8" t="str">
        <f>IF($B$2="","",TEXT($B$2+48-1,"yyyy-mm-dd"))</f>
        <v>2026-03-19</v>
      </c>
      <c r="E12" s="8" t="s">
        <v>79</v>
      </c>
      <c r="F12" s="8"/>
    </row>
    <row r="13" spans="1:6">
      <c r="A13" s="8">
        <v>10</v>
      </c>
      <c r="B13" s="8" t="s">
        <v>147</v>
      </c>
      <c r="C13" s="8" t="s">
        <v>148</v>
      </c>
      <c r="D13" s="8" t="str">
        <f>IF($B$2="","",TEXT($B$2+7-1,"yyyy-mm-dd"))</f>
        <v>2026-02-06</v>
      </c>
      <c r="E13" s="8" t="s">
        <v>15</v>
      </c>
      <c r="F13" s="8"/>
    </row>
    <row r="14" spans="1:6">
      <c r="A14" s="8">
        <v>11</v>
      </c>
      <c r="B14" s="8" t="s">
        <v>137</v>
      </c>
      <c r="C14" s="8" t="s">
        <v>149</v>
      </c>
      <c r="D14" s="8" t="str">
        <f>IF($B$2="","",TEXT($B$2+31-1,"yyyy-mm-dd"))</f>
        <v>2026-03-02</v>
      </c>
      <c r="E14" s="8" t="s">
        <v>91</v>
      </c>
      <c r="F14" s="8"/>
    </row>
    <row r="15" ht="27" spans="1:6">
      <c r="A15" s="8">
        <v>12</v>
      </c>
      <c r="B15" s="8" t="s">
        <v>147</v>
      </c>
      <c r="C15" s="8" t="s">
        <v>150</v>
      </c>
      <c r="D15" s="8" t="str">
        <f>IF($B$2="","",TEXT($B$2+25-1,"yyyy-mm-dd")&amp;" – "&amp;TEXT($B$2+26-1,"yyyy-mm-dd"))</f>
        <v>2026-02-24 – 2026-02-25</v>
      </c>
      <c r="E15" s="8" t="s">
        <v>72</v>
      </c>
      <c r="F15" s="8"/>
    </row>
    <row r="16" spans="1:6">
      <c r="A16" s="8">
        <v>13</v>
      </c>
      <c r="B16" s="8" t="s">
        <v>147</v>
      </c>
      <c r="C16" s="8" t="s">
        <v>151</v>
      </c>
      <c r="D16" s="8" t="str">
        <f>IF($B$2="","",TEXT($B$2+11-1,"yyyy-mm-dd"))</f>
        <v>2026-02-10</v>
      </c>
      <c r="E16" s="8" t="s">
        <v>31</v>
      </c>
      <c r="F16" s="8"/>
    </row>
    <row r="17" spans="1:6">
      <c r="A17" s="8">
        <v>14</v>
      </c>
      <c r="B17" s="8" t="s">
        <v>137</v>
      </c>
      <c r="C17" s="8" t="s">
        <v>152</v>
      </c>
      <c r="D17" s="8" t="str">
        <f>IF($B$2="","",TEXT($B$2+17-1,"yyyy-mm-dd"))</f>
        <v>2026-02-16</v>
      </c>
      <c r="E17" s="8" t="s">
        <v>53</v>
      </c>
      <c r="F17" s="8"/>
    </row>
    <row r="18" spans="1:6">
      <c r="A18" s="8">
        <v>15</v>
      </c>
      <c r="B18" s="8" t="s">
        <v>137</v>
      </c>
      <c r="C18" s="8" t="s">
        <v>153</v>
      </c>
      <c r="D18" s="8" t="str">
        <f>IF($B$2="","",TEXT($B$2+14-1,"yyyy-mm-dd"))</f>
        <v>2026-02-13</v>
      </c>
      <c r="E18" s="8" t="s">
        <v>31</v>
      </c>
      <c r="F18" s="8"/>
    </row>
    <row r="19" ht="27" spans="1:6">
      <c r="A19" s="8">
        <v>16</v>
      </c>
      <c r="B19" s="8" t="s">
        <v>137</v>
      </c>
      <c r="C19" s="8" t="s">
        <v>154</v>
      </c>
      <c r="D19" s="8" t="str">
        <f>IF($B$2="","",TEXT($B$2+22-1,"yyyy-mm-dd")&amp;" – "&amp;TEXT($B$2+30-1,"yyyy-mm-dd"))</f>
        <v>2026-02-21 – 2026-03-01</v>
      </c>
      <c r="E19" s="8" t="s">
        <v>155</v>
      </c>
      <c r="F19" s="8"/>
    </row>
    <row r="20" spans="1:6">
      <c r="A20" s="8">
        <v>17</v>
      </c>
      <c r="B20" s="8" t="s">
        <v>137</v>
      </c>
      <c r="C20" s="8" t="s">
        <v>156</v>
      </c>
      <c r="D20" s="8" t="str">
        <f>IF($B$2="","",TEXT($B$2+27-1,"yyyy-mm-dd"))</f>
        <v>2026-02-26</v>
      </c>
      <c r="E20" s="8" t="s">
        <v>79</v>
      </c>
      <c r="F20" s="8"/>
    </row>
    <row r="21" spans="1:6">
      <c r="A21" s="8">
        <v>18</v>
      </c>
      <c r="B21" s="8" t="s">
        <v>157</v>
      </c>
      <c r="C21" s="8" t="s">
        <v>158</v>
      </c>
      <c r="D21" s="8" t="str">
        <f>IF($B$2="","",TEXT($B$2+23-1,"yyyy-mm-dd"))</f>
        <v>2026-02-22</v>
      </c>
      <c r="E21" s="8" t="s">
        <v>66</v>
      </c>
      <c r="F21" s="8"/>
    </row>
    <row r="22" spans="1:6">
      <c r="A22" s="8">
        <v>19</v>
      </c>
      <c r="B22" s="8" t="s">
        <v>147</v>
      </c>
      <c r="C22" s="8" t="s">
        <v>159</v>
      </c>
      <c r="D22" s="8" t="str">
        <f>IF($B$2="","",TEXT($B$2+32-1,"yyyy-mm-dd"))</f>
        <v>2026-03-03</v>
      </c>
      <c r="E22" s="8" t="s">
        <v>79</v>
      </c>
      <c r="F22" s="8"/>
    </row>
    <row r="23" ht="27" spans="1:6">
      <c r="A23" s="8">
        <v>20</v>
      </c>
      <c r="B23" s="8" t="s">
        <v>137</v>
      </c>
      <c r="C23" s="8" t="s">
        <v>160</v>
      </c>
      <c r="D23" s="8" t="str">
        <f>IF($B$2="","",TEXT($B$2+18-1,"yyyy-mm-dd")&amp;" – "&amp;TEXT($B$2+20-1,"yyyy-mm-dd"))</f>
        <v>2026-02-17 – 2026-02-19</v>
      </c>
      <c r="E23" s="8" t="s">
        <v>53</v>
      </c>
      <c r="F23" s="8"/>
    </row>
    <row r="24" spans="1:6">
      <c r="A24" s="8">
        <v>21</v>
      </c>
      <c r="B24" s="8" t="s">
        <v>137</v>
      </c>
      <c r="C24" s="8" t="s">
        <v>161</v>
      </c>
      <c r="D24" s="8" t="str">
        <f>IF($B$2="","",TEXT($B$2+21-1,"yyyy-mm-dd"))</f>
        <v>2026-02-20</v>
      </c>
      <c r="E24" s="8" t="s">
        <v>63</v>
      </c>
      <c r="F24" s="8"/>
    </row>
    <row r="25" ht="27" spans="1:6">
      <c r="A25" s="8">
        <v>22</v>
      </c>
      <c r="B25" s="8" t="s">
        <v>137</v>
      </c>
      <c r="C25" s="8" t="s">
        <v>162</v>
      </c>
      <c r="D25" s="8" t="str">
        <f>IF($B$2="","",TEXT($B$2+33-1,"yyyy-mm-dd")&amp;" – "&amp;TEXT($B$2+36-1,"yyyy-mm-dd"))</f>
        <v>2026-03-04 – 2026-03-07</v>
      </c>
      <c r="E25" s="8" t="s">
        <v>79</v>
      </c>
      <c r="F25" s="8"/>
    </row>
    <row r="26" spans="1:6">
      <c r="A26" s="8">
        <v>23</v>
      </c>
      <c r="B26" s="8" t="s">
        <v>137</v>
      </c>
      <c r="C26" s="8" t="s">
        <v>163</v>
      </c>
      <c r="D26" s="8" t="str">
        <f>IF($B$2="","",TEXT($B$2+24-1,"yyyy-mm-dd"))</f>
        <v>2026-02-23</v>
      </c>
      <c r="E26" s="8" t="s">
        <v>72</v>
      </c>
      <c r="F26" s="8"/>
    </row>
    <row r="27" spans="1:6">
      <c r="A27" s="8">
        <v>24</v>
      </c>
      <c r="B27" s="8" t="s">
        <v>137</v>
      </c>
      <c r="C27" s="8" t="s">
        <v>164</v>
      </c>
      <c r="D27" s="8" t="str">
        <f>IF($B$2="","",TEXT($B$2+37-1,"yyyy-mm-dd"))</f>
        <v>2026-03-08</v>
      </c>
      <c r="E27" s="8" t="s">
        <v>31</v>
      </c>
      <c r="F27" s="8"/>
    </row>
    <row r="28" ht="27" spans="1:6">
      <c r="A28" s="8">
        <v>25</v>
      </c>
      <c r="B28" s="8" t="s">
        <v>157</v>
      </c>
      <c r="C28" s="8" t="s">
        <v>165</v>
      </c>
      <c r="D28" s="8" t="str">
        <f>IF($B$2="","",TEXT($B$2+45-1,"yyyy-mm-dd")&amp;" – "&amp;TEXT($B$2+46-1,"yyyy-mm-dd"))</f>
        <v>2026-03-16 – 2026-03-17</v>
      </c>
      <c r="E28" s="8" t="s">
        <v>82</v>
      </c>
      <c r="F28" s="8"/>
    </row>
    <row r="29" spans="1:6">
      <c r="A29" s="8">
        <v>26</v>
      </c>
      <c r="B29" s="8" t="s">
        <v>137</v>
      </c>
      <c r="C29" s="8" t="s">
        <v>166</v>
      </c>
      <c r="D29" s="8" t="str">
        <f>IF($B$2="","",TEXT($B$2+40-1,"yyyy-mm-dd"))</f>
        <v>2026-03-11</v>
      </c>
      <c r="E29" s="8" t="s">
        <v>82</v>
      </c>
      <c r="F29" s="8"/>
    </row>
    <row r="30" spans="1:6">
      <c r="A30" s="8">
        <v>27</v>
      </c>
      <c r="B30" s="8" t="s">
        <v>157</v>
      </c>
      <c r="C30" s="8" t="s">
        <v>167</v>
      </c>
      <c r="D30" s="8" t="str">
        <f>IF($B$2="","",TEXT($B$2+28-1,"yyyy-mm-dd"))</f>
        <v>2026-02-27</v>
      </c>
      <c r="E30" s="8" t="s">
        <v>82</v>
      </c>
      <c r="F30" s="8"/>
    </row>
    <row r="31" spans="1:6">
      <c r="A31" s="8">
        <v>28</v>
      </c>
      <c r="B31" s="8" t="s">
        <v>137</v>
      </c>
      <c r="C31" s="8" t="s">
        <v>168</v>
      </c>
      <c r="D31" s="8" t="str">
        <f>IF($B$2="","",TEXT($B$2+39-1,"yyyy-mm-dd"))</f>
        <v>2026-03-10</v>
      </c>
      <c r="E31" s="8" t="s">
        <v>31</v>
      </c>
      <c r="F31" s="8"/>
    </row>
    <row r="32" spans="1:6">
      <c r="A32" s="8">
        <v>29</v>
      </c>
      <c r="B32" s="8" t="s">
        <v>137</v>
      </c>
      <c r="C32" s="8" t="s">
        <v>169</v>
      </c>
      <c r="D32" s="8" t="str">
        <f>IF($B$2="","",TEXT($B$2+41-1,"yyyy-mm-dd"))</f>
        <v>2026-03-12</v>
      </c>
      <c r="E32" s="8" t="s">
        <v>31</v>
      </c>
      <c r="F32" s="8"/>
    </row>
    <row r="33" spans="1:6">
      <c r="A33" s="8">
        <v>30</v>
      </c>
      <c r="B33" s="8" t="s">
        <v>147</v>
      </c>
      <c r="C33" s="8" t="s">
        <v>170</v>
      </c>
      <c r="D33" s="8" t="str">
        <f>IF($B$2="","",TEXT($B$2+12-1,"yyyy-mm-dd"))</f>
        <v>2026-02-11</v>
      </c>
      <c r="E33" s="8" t="s">
        <v>31</v>
      </c>
      <c r="F33" s="8"/>
    </row>
    <row r="34" ht="27" spans="1:6">
      <c r="A34" s="8">
        <v>31</v>
      </c>
      <c r="B34" s="8" t="s">
        <v>137</v>
      </c>
      <c r="C34" s="8" t="s">
        <v>171</v>
      </c>
      <c r="D34" s="8" t="str">
        <f>IF($B$2="","",TEXT($B$2+43-1,"yyyy-mm-dd")&amp;" – "&amp;TEXT($B$2+44-1,"yyyy-mm-dd"))</f>
        <v>2026-03-14 – 2026-03-15</v>
      </c>
      <c r="E34" s="8" t="s">
        <v>110</v>
      </c>
      <c r="F34" s="8"/>
    </row>
    <row r="35" spans="1:6">
      <c r="A35" s="8">
        <v>32</v>
      </c>
      <c r="B35" s="8" t="s">
        <v>137</v>
      </c>
      <c r="C35" s="8" t="s">
        <v>172</v>
      </c>
      <c r="D35" s="8" t="str">
        <f>IF($B$2="","",TEXT($B$2+42-1,"yyyy-mm-dd"))</f>
        <v>2026-03-13</v>
      </c>
      <c r="E35" s="8" t="s">
        <v>110</v>
      </c>
      <c r="F35" s="8"/>
    </row>
    <row r="36" spans="1:6">
      <c r="A36" s="8">
        <v>33</v>
      </c>
      <c r="B36" s="8" t="s">
        <v>137</v>
      </c>
      <c r="C36" s="8" t="s">
        <v>172</v>
      </c>
      <c r="D36" s="8" t="str">
        <f>IF($B$2="","",TEXT($B$2+42-1,"yyyy-mm-dd"))</f>
        <v>2026-03-13</v>
      </c>
      <c r="E36" s="8" t="s">
        <v>110</v>
      </c>
      <c r="F36" s="8"/>
    </row>
    <row r="37" spans="1:6">
      <c r="A37" s="8">
        <v>34</v>
      </c>
      <c r="B37" s="8" t="s">
        <v>137</v>
      </c>
      <c r="C37" s="8" t="s">
        <v>172</v>
      </c>
      <c r="D37" s="8" t="str">
        <f>IF($B$2="","",TEXT($B$2+42-1,"yyyy-mm-dd"))</f>
        <v>2026-03-13</v>
      </c>
      <c r="E37" s="8" t="s">
        <v>110</v>
      </c>
      <c r="F37" s="8"/>
    </row>
    <row r="38" spans="1:6">
      <c r="A38" s="8">
        <v>35</v>
      </c>
      <c r="B38" s="8" t="s">
        <v>137</v>
      </c>
      <c r="C38" s="8" t="s">
        <v>173</v>
      </c>
      <c r="D38" s="8" t="str">
        <f>IF($B$2="","",TEXT($B$2+38-1,"yyyy-mm-dd"))</f>
        <v>2026-03-09</v>
      </c>
      <c r="E38" s="8" t="s">
        <v>79</v>
      </c>
      <c r="F38" s="8"/>
    </row>
    <row r="39" spans="1:6">
      <c r="A39" s="8">
        <v>36</v>
      </c>
      <c r="B39" s="8" t="s">
        <v>147</v>
      </c>
      <c r="C39" s="8" t="s">
        <v>174</v>
      </c>
      <c r="D39" s="8" t="str">
        <f>IF($B$2="","",TEXT($B$2+13-1,"yyyy-mm-dd"))</f>
        <v>2026-02-12</v>
      </c>
      <c r="E39" s="8" t="s">
        <v>31</v>
      </c>
      <c r="F39" s="8"/>
    </row>
    <row r="40" spans="1:6">
      <c r="A40" s="8">
        <v>37</v>
      </c>
      <c r="B40" s="8" t="s">
        <v>147</v>
      </c>
      <c r="C40" s="8" t="s">
        <v>175</v>
      </c>
      <c r="D40" s="8" t="str">
        <f>IF($B$2="","",TEXT($B$2+47-1,"yyyy-mm-dd"))</f>
        <v>2026-03-18</v>
      </c>
      <c r="E40" s="8" t="s">
        <v>15</v>
      </c>
      <c r="F40" s="8"/>
    </row>
    <row r="41" spans="1:6">
      <c r="A41" s="8">
        <v>38</v>
      </c>
      <c r="B41" s="8" t="s">
        <v>137</v>
      </c>
      <c r="C41" s="8" t="s">
        <v>176</v>
      </c>
      <c r="D41" s="8" t="str">
        <f>IF($B$2="","",TEXT($B$2+8-1,"yyyy-mm-dd"))</f>
        <v>2026-02-07</v>
      </c>
      <c r="E41" s="8" t="s">
        <v>31</v>
      </c>
      <c r="F41" s="8"/>
    </row>
    <row r="42" ht="27" spans="1:6">
      <c r="A42" s="8">
        <v>39</v>
      </c>
      <c r="B42" s="8" t="s">
        <v>137</v>
      </c>
      <c r="C42" s="8" t="s">
        <v>177</v>
      </c>
      <c r="D42" s="8" t="str">
        <f>IF($B$2="","",TEXT($B$2+49-1,"yyyy-mm-dd")&amp;" – "&amp;TEXT($B$2+50-1,"yyyy-mm-dd"))</f>
        <v>2026-03-20 – 2026-03-21</v>
      </c>
      <c r="E42" s="8" t="s">
        <v>79</v>
      </c>
      <c r="F42" s="8"/>
    </row>
    <row r="43" spans="1:6">
      <c r="A43" s="8">
        <v>40</v>
      </c>
      <c r="B43" s="8" t="s">
        <v>137</v>
      </c>
      <c r="C43" s="8" t="s">
        <v>178</v>
      </c>
      <c r="D43" s="8" t="str">
        <f>IF($B$2="","",TEXT($B$2+51-1,"yyyy-mm-dd"))</f>
        <v>2026-03-22</v>
      </c>
      <c r="E43" s="8" t="s">
        <v>53</v>
      </c>
      <c r="F43" s="8"/>
    </row>
  </sheetData>
  <autoFilter ref="A3:F43">
    <extLst/>
  </autoFilter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showGridLines="0" workbookViewId="0">
      <selection activeCell="A1" sqref="A1"/>
    </sheetView>
  </sheetViews>
  <sheetFormatPr defaultColWidth="9" defaultRowHeight="13.5" outlineLevelCol="1"/>
  <cols>
    <col min="1" max="1" width="26" customWidth="1"/>
    <col min="2" max="2" width="18" customWidth="1"/>
  </cols>
  <sheetData>
    <row r="1" ht="18.75" spans="1:1">
      <c r="A1" s="1" t="s">
        <v>179</v>
      </c>
    </row>
    <row r="3" spans="1:2">
      <c r="A3" s="2" t="s">
        <v>180</v>
      </c>
      <c r="B3" s="3">
        <f>'Daily Plan'!B2</f>
        <v>46053</v>
      </c>
    </row>
    <row r="4" spans="1:2">
      <c r="A4" s="4"/>
      <c r="B4" s="4"/>
    </row>
    <row r="5" spans="1:2">
      <c r="A5" s="2" t="s">
        <v>181</v>
      </c>
      <c r="B5" s="4">
        <v>52</v>
      </c>
    </row>
    <row r="6" spans="1:2">
      <c r="A6" s="2" t="s">
        <v>182</v>
      </c>
      <c r="B6" s="4">
        <f>COUNTIF('Daily Plan'!G5:G56,"Done")</f>
        <v>52</v>
      </c>
    </row>
    <row r="7" spans="1:2">
      <c r="A7" s="2" t="s">
        <v>183</v>
      </c>
      <c r="B7" s="4">
        <f>COUNTIF('Daily Plan'!G5:G56,"In Progress")</f>
        <v>0</v>
      </c>
    </row>
    <row r="8" spans="1:2">
      <c r="A8" s="2" t="s">
        <v>184</v>
      </c>
      <c r="B8" s="4">
        <f>COUNTIF('Daily Plan'!G5:G56,"Not Started")</f>
        <v>0</v>
      </c>
    </row>
    <row r="9" spans="1:2">
      <c r="A9" s="4"/>
      <c r="B9" s="4"/>
    </row>
    <row r="10" spans="1:2">
      <c r="A10" s="2" t="s">
        <v>185</v>
      </c>
      <c r="B10" s="4">
        <v>40</v>
      </c>
    </row>
    <row r="11" spans="1:2">
      <c r="A11" s="4"/>
      <c r="B11" s="4"/>
    </row>
    <row r="12" spans="1:2">
      <c r="A12" s="2" t="s">
        <v>186</v>
      </c>
      <c r="B12" s="4">
        <f>COUNTIF('Daily Plan'!H5:H56,"&gt;0")</f>
        <v>52</v>
      </c>
    </row>
    <row r="13" spans="1:2">
      <c r="A13" s="2" t="s">
        <v>187</v>
      </c>
      <c r="B13" s="4">
        <f>COUNTIF('Daily Plan'!I5:I56,"Yes")</f>
        <v>7</v>
      </c>
    </row>
  </sheetData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Daily Plan</vt:lpstr>
      <vt:lpstr>Exercise Map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zhanwen.peng</cp:lastModifiedBy>
  <dcterms:created xsi:type="dcterms:W3CDTF">2026-01-31T02:24:00Z</dcterms:created>
  <dcterms:modified xsi:type="dcterms:W3CDTF">2026-04-01T07:32:35Z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