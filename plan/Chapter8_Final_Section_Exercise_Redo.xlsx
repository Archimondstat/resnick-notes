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2" documentId="11_DE2EFB3A9D1E79C6859C80A3377C0E0772D29E3B" xr6:coauthVersionLast="47" xr6:coauthVersionMax="47" xr10:uidLastSave="{BF23E7C9-3F0B-47DB-9547-EF99EC340627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B8" i="2" s="1"/>
  <c r="P18" i="1"/>
  <c r="P17" i="1"/>
  <c r="P15" i="1"/>
  <c r="P12" i="1"/>
  <c r="P11" i="1"/>
  <c r="P9" i="1"/>
  <c r="P8" i="1"/>
  <c r="P7" i="1"/>
  <c r="P6" i="1"/>
  <c r="P5" i="1"/>
  <c r="P4" i="1"/>
  <c r="P2" i="1"/>
</calcChain>
</file>

<file path=xl/sharedStrings.xml><?xml version="1.0" encoding="utf-8"?>
<sst xmlns="http://schemas.openxmlformats.org/spreadsheetml/2006/main" count="724" uniqueCount="481">
  <si>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</si>
  <si>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</si>
  <si>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</si>
  <si>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</si>
  <si>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</si>
  <si>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</si>
  <si>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</si>
  <si>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</si>
  <si>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</si>
  <si>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</si>
  <si>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</si>
  <si>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</si>
  <si>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</si>
  <si>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</si>
  <si>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</si>
  <si>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</si>
  <si>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</si>
  <si>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</si>
  <si>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</si>
  <si>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</si>
  <si>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</si>
  <si>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</si>
  <si>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</si>
  <si>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</si>
  <si>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</si>
  <si>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Skeleton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</si>
  <si>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</si>
  <si>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</si>
  <si>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</si>
  <si>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</si>
  <si>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</si>
  <si>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</si>
  <si>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</si>
  <si>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</si>
  <si>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</si>
  <si>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</si>
  <si>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</si>
  <si>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</si>
  <si>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</si>
  <si>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</si>
  <si>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Crack it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</si>
  <si>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</si>
  <si>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</si>
  <si>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</si>
  <si>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</si>
  <si>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</si>
  <si>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</si>
  <si>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</si>
  <si>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</si>
  <si>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</si>
  <si>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</si>
  <si>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</si>
  <si>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</si>
  <si>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</si>
  <si>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</si>
  <si>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</si>
  <si>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</si>
  <si>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</si>
  <si>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</si>
  <si>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</si>
  <si>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</si>
  <si>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</si>
  <si>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</si>
  <si>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</si>
  <si>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</si>
  <si>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</si>
  <si>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</si>
  <si>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</si>
  <si>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</si>
  <si>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</si>
  <si>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</si>
  <si>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</si>
  <si>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</si>
  <si>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</si>
  <si>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</si>
  <si>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</si>
  <si>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</si>
  <si>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</si>
  <si>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</si>
  <si>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</si>
  <si>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</si>
  <si>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</si>
  <si>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</si>
  <si>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</si>
  <si>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</si>
  <si>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</si>
  <si>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</si>
  <si>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</si>
  <si>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</si>
  <si>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</si>
  <si>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</si>
  <si>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</si>
  <si>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</si>
  <si>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</si>
  <si>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</si>
  <si>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</si>
  <si>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</si>
  <si>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</si>
  <si>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</si>
  <si>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</si>
  <si>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</si>
  <si>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</si>
  <si>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</si>
  <si>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</si>
  <si>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</si>
  <si>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</si>
  <si>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</si>
  <si>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</si>
  <si>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</si>
  <si>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</si>
  <si>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</si>
  <si>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</si>
  <si>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</si>
  <si>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</si>
  <si>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</si>
  <si>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</si>
  <si>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</si>
  <si>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</si>
  <si>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</si>
  <si>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</si>
  <si>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</si>
  <si>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</si>
  <si>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</si>
  <si>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</si>
  <si>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</si>
  <si>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</si>
  <si>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</si>
  <si>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</si>
  <si>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</si>
  <si>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</si>
  <si>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</si>
  <si>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</si>
  <si>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</si>
  <si>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</si>
  <si>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</si>
  <si>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</si>
  <si>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</si>
  <si>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</si>
  <si>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</si>
  <si>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</si>
  <si>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</si>
  <si>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</si>
  <si>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</si>
  <si>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</si>
  <si>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</si>
  <si>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</si>
  <si>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</si>
  <si>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</si>
  <si>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</si>
  <si>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</si>
  <si>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</si>
  <si>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</si>
  <si>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</si>
  <si>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</si>
  <si>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</si>
  <si>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</si>
  <si>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</si>
  <si>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</si>
  <si>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</si>
  <si>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</si>
  <si>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</si>
  <si>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</si>
  <si>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</si>
  <si>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</si>
  <si>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</si>
  <si>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</si>
  <si>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</si>
  <si>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</si>
  <si>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</si>
  <si>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</si>
  <si>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</si>
  <si>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</si>
  <si>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</si>
  <si>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</si>
  <si>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</si>
  <si>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</si>
  <si>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</si>
  <si>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</si>
  <si>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</si>
  <si>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</si>
  <si>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</si>
  <si>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</si>
  <si>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</si>
  <si>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</si>
  <si>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</si>
  <si>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</si>
  <si>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</si>
  <si>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</si>
  <si>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</si>
  <si>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</si>
  <si>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</si>
  <si>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</si>
  <si>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</si>
  <si>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</si>
  <si>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</si>
  <si>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</si>
  <si>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</si>
  <si>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</si>
  <si>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</si>
  <si>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</si>
  <si>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</si>
  <si>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</si>
  <si>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</si>
  <si>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</si>
  <si>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</si>
  <si>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</si>
  <si>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</si>
  <si>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</si>
  <si>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</si>
  <si>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</si>
  <si>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</si>
  <si>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</si>
  <si>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</si>
  <si>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</si>
  <si>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</si>
  <si>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</si>
  <si>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</si>
  <si>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</si>
  <si>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</si>
  <si>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</si>
  <si>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</si>
  <si>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</si>
  <si>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</si>
  <si>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</si>
  <si>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</si>
  <si>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</si>
  <si>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</si>
  <si>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</si>
  <si>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</si>
  <si>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</si>
  <si>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</si>
  <si>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</si>
  <si>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</si>
  <si>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</si>
  <si>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</si>
  <si>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Direction is right but a logical bridge is missing.</t>
  </si>
  <si>
    <t>Repair the bridge; redo after two days without leaning on the repaired solution.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</si>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</sst>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C1" zoomScale="85" zoomScaleNormal="85" workbookViewId="0">
      <pane ySplit="1" topLeftCell="A11" activePane="bottomLeft" state="frozen"/>
      <selection pane="bottomLeft" activeCell="M20" sqref="M20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25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26</v>
      </c>
    </row>
    <row r="3" spans="1:20" ht="67.5">
      <c r="A3" s="6">
        <v>2</v>
      </c>
      <c r="B3" s="12">
        <v>46274</v>
      </c>
      <c r="C3" s="6" t="s">
        <v>27</v>
      </c>
      <c r="D3" s="6" t="s">
        <v>28</v>
      </c>
      <c r="E3" s="6" t="s">
        <v>29</v>
      </c>
      <c r="F3" s="6"/>
      <c r="G3" s="6"/>
      <c r="H3" s="6" t="s">
        <v>30</v>
      </c>
      <c r="I3" s="6" t="s">
        <v>31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27</v>
      </c>
      <c r="D4" s="10"/>
      <c r="E4" s="10"/>
      <c r="F4" s="10" t="s">
        <v>32</v>
      </c>
      <c r="G4" s="10" t="s">
        <v>33</v>
      </c>
      <c r="H4" s="10" t="s">
        <v>34</v>
      </c>
      <c r="I4" s="10" t="s">
        <v>35</v>
      </c>
      <c r="J4" s="11"/>
      <c r="K4" s="11"/>
      <c r="L4" s="11">
        <v>46276</v>
      </c>
      <c r="M4" s="10" t="s">
        <v>25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36</v>
      </c>
    </row>
    <row r="5" spans="1:20" ht="40.5">
      <c r="A5" s="6">
        <v>4</v>
      </c>
      <c r="B5" s="12">
        <v>46276</v>
      </c>
      <c r="C5" s="6" t="s">
        <v>27</v>
      </c>
      <c r="D5" s="6"/>
      <c r="E5" s="6"/>
      <c r="F5" s="6" t="s">
        <v>37</v>
      </c>
      <c r="G5" s="6" t="s">
        <v>33</v>
      </c>
      <c r="H5" s="6" t="s">
        <v>38</v>
      </c>
      <c r="I5" s="6" t="s">
        <v>39</v>
      </c>
      <c r="J5" s="12"/>
      <c r="K5" s="12"/>
      <c r="L5" s="12">
        <v>46277</v>
      </c>
      <c r="M5" s="6" t="s">
        <v>40</v>
      </c>
      <c r="N5" s="6"/>
      <c r="O5" s="6"/>
      <c r="P5" s="12">
        <f>IF(AND($L5&lt;&gt;"",$M5&lt;&gt;""),$L5+VLOOKUP($M5,'Redo Rules'!$A$2:$D$5,4,FALSE),"")</f>
        <v>46279</v>
      </c>
      <c r="Q5" s="12">
        <v>46289</v>
      </c>
      <c r="R5" s="6"/>
      <c r="S5" s="6"/>
      <c r="T5" s="6"/>
    </row>
    <row r="6" spans="1:20" ht="40.5">
      <c r="A6" s="10">
        <v>5</v>
      </c>
      <c r="B6" s="11">
        <v>46277</v>
      </c>
      <c r="C6" s="10" t="s">
        <v>41</v>
      </c>
      <c r="D6" s="10"/>
      <c r="E6" s="10"/>
      <c r="F6" s="10" t="s">
        <v>42</v>
      </c>
      <c r="G6" s="10" t="s">
        <v>33</v>
      </c>
      <c r="H6" s="10" t="s">
        <v>43</v>
      </c>
      <c r="I6" s="10" t="s">
        <v>44</v>
      </c>
      <c r="J6" s="11"/>
      <c r="K6" s="11"/>
      <c r="L6" s="11">
        <v>46278</v>
      </c>
      <c r="M6" s="10" t="s">
        <v>40</v>
      </c>
      <c r="N6" s="10"/>
      <c r="O6" s="10"/>
      <c r="P6" s="11">
        <f>IF(AND($L6&lt;&gt;"",$M6&lt;&gt;""),$L6+VLOOKUP($M6,'Redo Rules'!$A$2:$D$5,4,FALSE),"")</f>
        <v>46280</v>
      </c>
      <c r="Q6" s="11">
        <v>46289</v>
      </c>
      <c r="R6" s="10"/>
      <c r="S6" s="10"/>
      <c r="T6" s="10"/>
    </row>
    <row r="7" spans="1:20" ht="27">
      <c r="A7" s="6">
        <v>6</v>
      </c>
      <c r="B7" s="12">
        <v>46278</v>
      </c>
      <c r="C7" s="6" t="s">
        <v>41</v>
      </c>
      <c r="D7" s="6"/>
      <c r="E7" s="6"/>
      <c r="F7" s="6" t="s">
        <v>45</v>
      </c>
      <c r="G7" s="6" t="s">
        <v>46</v>
      </c>
      <c r="H7" s="6" t="s">
        <v>43</v>
      </c>
      <c r="I7" s="6" t="s">
        <v>47</v>
      </c>
      <c r="J7" s="12"/>
      <c r="K7" s="12"/>
      <c r="L7" s="12">
        <v>46279</v>
      </c>
      <c r="M7" s="6" t="s">
        <v>25</v>
      </c>
      <c r="N7" s="6"/>
      <c r="O7" s="6"/>
      <c r="P7" s="12">
        <f>IF(AND($L7&lt;&gt;"",$M7&lt;&gt;""),$L7+VLOOKUP($M7,'Redo Rules'!$A$2:$D$5,4,FALSE),"")</f>
        <v>46281</v>
      </c>
      <c r="Q7" s="12">
        <v>46289</v>
      </c>
      <c r="R7" s="6"/>
      <c r="S7" s="6"/>
      <c r="T7" s="6"/>
    </row>
    <row r="8" spans="1:20" ht="27">
      <c r="A8" s="10">
        <v>7</v>
      </c>
      <c r="B8" s="11">
        <v>46279</v>
      </c>
      <c r="C8" s="10" t="s">
        <v>41</v>
      </c>
      <c r="D8" s="10"/>
      <c r="E8" s="10"/>
      <c r="F8" s="10" t="s">
        <v>48</v>
      </c>
      <c r="G8" s="10" t="s">
        <v>46</v>
      </c>
      <c r="H8" s="10" t="s">
        <v>43</v>
      </c>
      <c r="I8" s="10" t="s">
        <v>49</v>
      </c>
      <c r="J8" s="11"/>
      <c r="K8" s="11"/>
      <c r="L8" s="11">
        <v>46279</v>
      </c>
      <c r="M8" s="10" t="s">
        <v>25</v>
      </c>
      <c r="N8" s="10"/>
      <c r="O8" s="10"/>
      <c r="P8" s="11">
        <f>IF(AND($L8&lt;&gt;"",$M8&lt;&gt;""),$L8+VLOOKUP($M8,'Redo Rules'!$A$2:$D$5,4,FALSE),"")</f>
        <v>46281</v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41</v>
      </c>
      <c r="D9" s="6"/>
      <c r="E9" s="6"/>
      <c r="F9" s="6" t="s">
        <v>50</v>
      </c>
      <c r="G9" s="6" t="s">
        <v>33</v>
      </c>
      <c r="H9" s="6" t="s">
        <v>51</v>
      </c>
      <c r="I9" s="6" t="s">
        <v>52</v>
      </c>
      <c r="J9" s="12"/>
      <c r="K9" s="12"/>
      <c r="L9" s="12">
        <v>46280</v>
      </c>
      <c r="M9" s="6" t="s">
        <v>25</v>
      </c>
      <c r="N9" s="6"/>
      <c r="O9" s="6"/>
      <c r="P9" s="12">
        <f>IF(AND($L9&lt;&gt;"",$M9&lt;&gt;""),$L9+VLOOKUP($M9,'Redo Rules'!$A$2:$D$5,4,FALSE),"")</f>
        <v>46282</v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53</v>
      </c>
      <c r="D10" s="10" t="s">
        <v>54</v>
      </c>
      <c r="E10" s="10" t="s">
        <v>55</v>
      </c>
      <c r="F10" s="10"/>
      <c r="G10" s="10"/>
      <c r="H10" s="10" t="s">
        <v>56</v>
      </c>
      <c r="I10" s="10" t="s">
        <v>57</v>
      </c>
      <c r="J10" s="11">
        <v>46274</v>
      </c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53</v>
      </c>
      <c r="D11" s="6"/>
      <c r="E11" s="6"/>
      <c r="F11" s="6" t="s">
        <v>58</v>
      </c>
      <c r="G11" s="6" t="s">
        <v>33</v>
      </c>
      <c r="H11" s="6" t="s">
        <v>59</v>
      </c>
      <c r="I11" s="6" t="s">
        <v>60</v>
      </c>
      <c r="J11" s="12"/>
      <c r="K11" s="12"/>
      <c r="L11" s="12">
        <v>46282</v>
      </c>
      <c r="M11" s="6" t="s">
        <v>25</v>
      </c>
      <c r="N11" s="6"/>
      <c r="O11" s="6"/>
      <c r="P11" s="12">
        <f>IF(AND($L11&lt;&gt;"",$M11&lt;&gt;""),$L11+VLOOKUP($M11,'Redo Rules'!$A$2:$D$5,4,FALSE),"")</f>
        <v>46284</v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53</v>
      </c>
      <c r="D12" s="10"/>
      <c r="E12" s="10"/>
      <c r="F12" s="10" t="s">
        <v>61</v>
      </c>
      <c r="G12" s="10" t="s">
        <v>33</v>
      </c>
      <c r="H12" s="10" t="s">
        <v>62</v>
      </c>
      <c r="I12" s="10" t="s">
        <v>63</v>
      </c>
      <c r="J12" s="11"/>
      <c r="K12" s="11"/>
      <c r="L12" s="11">
        <v>46285</v>
      </c>
      <c r="M12" s="10" t="s">
        <v>25</v>
      </c>
      <c r="N12" s="10"/>
      <c r="O12" s="10"/>
      <c r="P12" s="11">
        <f>IF(AND($L12&lt;&gt;"",$M12&lt;&gt;""),$L12+VLOOKUP($M12,'Redo Rules'!$A$2:$D$5,4,FALSE),"")</f>
        <v>46287</v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64</v>
      </c>
      <c r="D13" s="6" t="s">
        <v>65</v>
      </c>
      <c r="E13" s="6" t="s">
        <v>66</v>
      </c>
      <c r="F13" s="6"/>
      <c r="G13" s="6"/>
      <c r="H13" s="6" t="s">
        <v>67</v>
      </c>
      <c r="I13" s="6" t="s">
        <v>68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64</v>
      </c>
      <c r="D14" s="10" t="s">
        <v>69</v>
      </c>
      <c r="E14" s="10" t="s">
        <v>70</v>
      </c>
      <c r="F14" s="10"/>
      <c r="G14" s="10"/>
      <c r="H14" s="10" t="s">
        <v>71</v>
      </c>
      <c r="I14" s="10"/>
      <c r="J14" s="11">
        <v>46287</v>
      </c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64</v>
      </c>
      <c r="D15" s="6"/>
      <c r="E15" s="6"/>
      <c r="F15" s="6" t="s">
        <v>72</v>
      </c>
      <c r="G15" s="6" t="s">
        <v>33</v>
      </c>
      <c r="H15" s="6" t="s">
        <v>73</v>
      </c>
      <c r="I15" s="6" t="s">
        <v>74</v>
      </c>
      <c r="J15" s="12"/>
      <c r="K15" s="12"/>
      <c r="L15" s="12">
        <v>46290</v>
      </c>
      <c r="M15" s="6" t="s">
        <v>40</v>
      </c>
      <c r="N15" s="6"/>
      <c r="O15" s="6"/>
      <c r="P15" s="12">
        <f>IF(AND($L15&lt;&gt;"",$M15&lt;&gt;""),$L15+VLOOKUP($M15,'Redo Rules'!$A$2:$D$5,4,FALSE),"")</f>
        <v>46292</v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75</v>
      </c>
      <c r="D16" s="10" t="s">
        <v>76</v>
      </c>
      <c r="E16" s="10" t="s">
        <v>77</v>
      </c>
      <c r="F16" s="10"/>
      <c r="G16" s="10"/>
      <c r="H16" s="10" t="s">
        <v>78</v>
      </c>
      <c r="I16" s="10"/>
      <c r="J16" s="11">
        <v>46289</v>
      </c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75</v>
      </c>
      <c r="D17" s="6"/>
      <c r="E17" s="6"/>
      <c r="F17" s="6" t="s">
        <v>79</v>
      </c>
      <c r="G17" s="6" t="s">
        <v>33</v>
      </c>
      <c r="H17" s="6" t="s">
        <v>80</v>
      </c>
      <c r="I17" s="6" t="s">
        <v>81</v>
      </c>
      <c r="J17" s="12"/>
      <c r="K17" s="12"/>
      <c r="L17" s="12">
        <v>46292</v>
      </c>
      <c r="M17" s="6" t="s">
        <v>40</v>
      </c>
      <c r="N17" s="6"/>
      <c r="O17" s="6"/>
      <c r="P17" s="12">
        <f>IF(AND($L17&lt;&gt;"",$M17&lt;&gt;""),$L17+VLOOKUP($M17,'Redo Rules'!$A$2:$D$5,4,FALSE),"")</f>
        <v>46294</v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75</v>
      </c>
      <c r="D18" s="10"/>
      <c r="E18" s="10"/>
      <c r="F18" s="10" t="s">
        <v>82</v>
      </c>
      <c r="G18" s="10" t="s">
        <v>33</v>
      </c>
      <c r="H18" s="10" t="s">
        <v>80</v>
      </c>
      <c r="I18" s="10" t="s">
        <v>83</v>
      </c>
      <c r="J18" s="11"/>
      <c r="K18" s="11"/>
      <c r="L18" s="11">
        <v>46292</v>
      </c>
      <c r="M18" s="10" t="s">
        <v>40</v>
      </c>
      <c r="N18" s="10"/>
      <c r="O18" s="10"/>
      <c r="P18" s="11">
        <f>IF(AND($L18&lt;&gt;"",$M18&lt;&gt;""),$L18+VLOOKUP($M18,'Redo Rules'!$A$2:$D$5,4,FALSE),"")</f>
        <v>46294</v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84</v>
      </c>
      <c r="D19" s="6" t="s">
        <v>85</v>
      </c>
      <c r="E19" s="6" t="s">
        <v>86</v>
      </c>
      <c r="F19" s="6"/>
      <c r="G19" s="6"/>
      <c r="H19" s="6" t="s">
        <v>87</v>
      </c>
      <c r="I19" s="6" t="s">
        <v>88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84</v>
      </c>
      <c r="D20" s="10"/>
      <c r="E20" s="10"/>
      <c r="F20" s="10" t="s">
        <v>89</v>
      </c>
      <c r="G20" s="10" t="s">
        <v>90</v>
      </c>
      <c r="H20" s="10" t="s">
        <v>91</v>
      </c>
      <c r="I20" s="10" t="s">
        <v>92</v>
      </c>
      <c r="J20" s="11"/>
      <c r="K20" s="11"/>
      <c r="L20" s="11">
        <v>46299</v>
      </c>
      <c r="M20" s="10" t="s">
        <v>40</v>
      </c>
      <c r="N20" s="10"/>
      <c r="O20" s="10"/>
      <c r="P20" s="11">
        <f>IF(AND($L20&lt;&gt;"",$M20&lt;&gt;""),$L20+VLOOKUP($M20,'Redo Rules'!$A$2:$D$5,4,FALSE),"")</f>
        <v>46301</v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84</v>
      </c>
      <c r="D21" s="6"/>
      <c r="E21" s="6"/>
      <c r="F21" s="6" t="s">
        <v>93</v>
      </c>
      <c r="G21" s="6" t="s">
        <v>94</v>
      </c>
      <c r="H21" s="6" t="s">
        <v>95</v>
      </c>
      <c r="I21" s="6" t="s">
        <v>96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84</v>
      </c>
      <c r="D22" s="10"/>
      <c r="E22" s="10"/>
      <c r="F22" s="10" t="s">
        <v>97</v>
      </c>
      <c r="G22" s="10" t="s">
        <v>33</v>
      </c>
      <c r="H22" s="10" t="s">
        <v>98</v>
      </c>
      <c r="I22" s="10" t="s">
        <v>99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84</v>
      </c>
      <c r="D23" s="6"/>
      <c r="E23" s="6"/>
      <c r="F23" s="6" t="s">
        <v>100</v>
      </c>
      <c r="G23" s="6" t="s">
        <v>101</v>
      </c>
      <c r="H23" s="6" t="s">
        <v>102</v>
      </c>
      <c r="I23" s="6" t="s">
        <v>103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104</v>
      </c>
      <c r="D24" s="10" t="s">
        <v>105</v>
      </c>
      <c r="E24" s="10" t="s">
        <v>106</v>
      </c>
      <c r="F24" s="10"/>
      <c r="G24" s="10"/>
      <c r="H24" s="10" t="s">
        <v>107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104</v>
      </c>
      <c r="D25" s="6"/>
      <c r="E25" s="6"/>
      <c r="F25" s="6" t="s">
        <v>108</v>
      </c>
      <c r="G25" s="6" t="s">
        <v>94</v>
      </c>
      <c r="H25" s="6" t="s">
        <v>109</v>
      </c>
      <c r="I25" s="6" t="s">
        <v>110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104</v>
      </c>
      <c r="D26" s="10"/>
      <c r="E26" s="10"/>
      <c r="F26" s="10" t="s">
        <v>111</v>
      </c>
      <c r="G26" s="10" t="s">
        <v>94</v>
      </c>
      <c r="H26" s="10" t="s">
        <v>112</v>
      </c>
      <c r="I26" s="10" t="s">
        <v>113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114</v>
      </c>
      <c r="D27" s="6" t="s">
        <v>115</v>
      </c>
      <c r="E27" s="6" t="s">
        <v>116</v>
      </c>
      <c r="F27" s="6"/>
      <c r="G27" s="6"/>
      <c r="H27" s="6" t="s">
        <v>117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114</v>
      </c>
      <c r="D28" s="10"/>
      <c r="E28" s="10"/>
      <c r="F28" s="10" t="s">
        <v>118</v>
      </c>
      <c r="G28" s="10" t="s">
        <v>46</v>
      </c>
      <c r="H28" s="10" t="s">
        <v>119</v>
      </c>
      <c r="I28" s="10" t="s">
        <v>120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114</v>
      </c>
      <c r="D29" s="6"/>
      <c r="E29" s="6"/>
      <c r="F29" s="6" t="s">
        <v>121</v>
      </c>
      <c r="G29" s="6" t="s">
        <v>94</v>
      </c>
      <c r="H29" s="6" t="s">
        <v>122</v>
      </c>
      <c r="I29" s="6" t="s">
        <v>123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124</v>
      </c>
      <c r="D30" s="10" t="s">
        <v>125</v>
      </c>
      <c r="E30" s="10" t="s">
        <v>126</v>
      </c>
      <c r="F30" s="10"/>
      <c r="G30" s="10"/>
      <c r="H30" s="10" t="s">
        <v>127</v>
      </c>
      <c r="I30" s="10" t="s">
        <v>128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129</v>
      </c>
      <c r="D31" s="6"/>
      <c r="E31" s="6" t="s">
        <v>130</v>
      </c>
      <c r="F31" s="6"/>
      <c r="G31" s="6"/>
      <c r="H31" s="6" t="s">
        <v>131</v>
      </c>
      <c r="I31" s="6" t="s">
        <v>132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133</v>
      </c>
      <c r="D32" s="10" t="s">
        <v>134</v>
      </c>
      <c r="E32" s="10" t="s">
        <v>135</v>
      </c>
      <c r="F32" s="10"/>
      <c r="G32" s="10"/>
      <c r="H32" s="10" t="s">
        <v>136</v>
      </c>
      <c r="I32" s="10" t="s">
        <v>137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133</v>
      </c>
      <c r="D33" s="6"/>
      <c r="E33" s="6"/>
      <c r="F33" s="6" t="s">
        <v>138</v>
      </c>
      <c r="G33" s="6" t="s">
        <v>139</v>
      </c>
      <c r="H33" s="6" t="s">
        <v>133</v>
      </c>
      <c r="I33" s="6" t="s">
        <v>140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133</v>
      </c>
      <c r="D34" s="10"/>
      <c r="E34" s="10"/>
      <c r="F34" s="10" t="s">
        <v>141</v>
      </c>
      <c r="G34" s="10" t="s">
        <v>33</v>
      </c>
      <c r="H34" s="10" t="s">
        <v>142</v>
      </c>
      <c r="I34" s="10" t="s">
        <v>143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144</v>
      </c>
      <c r="D35" s="6" t="s">
        <v>145</v>
      </c>
      <c r="E35" s="6" t="s">
        <v>146</v>
      </c>
      <c r="F35" s="6"/>
      <c r="G35" s="6"/>
      <c r="H35" s="6" t="s">
        <v>147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144</v>
      </c>
      <c r="D36" s="10"/>
      <c r="E36" s="10"/>
      <c r="F36" s="10" t="s">
        <v>148</v>
      </c>
      <c r="G36" s="10" t="s">
        <v>33</v>
      </c>
      <c r="H36" s="10" t="s">
        <v>144</v>
      </c>
      <c r="I36" s="10" t="s">
        <v>149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144</v>
      </c>
      <c r="D37" s="6"/>
      <c r="E37" s="6"/>
      <c r="F37" s="6" t="s">
        <v>150</v>
      </c>
      <c r="G37" s="6" t="s">
        <v>33</v>
      </c>
      <c r="H37" s="6" t="s">
        <v>144</v>
      </c>
      <c r="I37" s="6" t="s">
        <v>151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144</v>
      </c>
      <c r="D38" s="10"/>
      <c r="E38" s="10"/>
      <c r="F38" s="10" t="s">
        <v>152</v>
      </c>
      <c r="G38" s="10" t="s">
        <v>101</v>
      </c>
      <c r="H38" s="10" t="s">
        <v>153</v>
      </c>
      <c r="I38" s="10" t="s">
        <v>154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144</v>
      </c>
      <c r="D39" s="6"/>
      <c r="E39" s="6"/>
      <c r="F39" s="6" t="s">
        <v>155</v>
      </c>
      <c r="G39" s="6" t="s">
        <v>156</v>
      </c>
      <c r="H39" s="6" t="s">
        <v>157</v>
      </c>
      <c r="I39" s="6" t="s">
        <v>158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159</v>
      </c>
      <c r="D40" s="10"/>
      <c r="E40" s="10" t="s">
        <v>160</v>
      </c>
      <c r="F40" s="10"/>
      <c r="G40" s="10"/>
      <c r="H40" s="10" t="s">
        <v>161</v>
      </c>
      <c r="I40" s="10" t="s">
        <v>162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163</v>
      </c>
      <c r="D41" s="6" t="s">
        <v>164</v>
      </c>
      <c r="E41" s="6" t="s">
        <v>165</v>
      </c>
      <c r="F41" s="6"/>
      <c r="G41" s="6"/>
      <c r="H41" s="6" t="s">
        <v>166</v>
      </c>
      <c r="I41" s="6" t="s">
        <v>167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168</v>
      </c>
      <c r="D42" s="10" t="s">
        <v>169</v>
      </c>
      <c r="E42" s="10"/>
      <c r="F42" s="10"/>
      <c r="G42" s="10"/>
      <c r="H42" s="10" t="s">
        <v>170</v>
      </c>
      <c r="I42" s="10" t="s">
        <v>171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172</v>
      </c>
      <c r="D43" s="6" t="s">
        <v>173</v>
      </c>
      <c r="E43" s="6"/>
      <c r="F43" s="6"/>
      <c r="G43" s="6"/>
      <c r="H43" s="6" t="s">
        <v>174</v>
      </c>
      <c r="I43" s="6" t="s">
        <v>175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176</v>
      </c>
      <c r="B1" s="13"/>
      <c r="C1" s="13"/>
      <c r="D1" s="13"/>
      <c r="E1" s="13"/>
      <c r="F1" s="13"/>
    </row>
    <row r="2" spans="1:6">
      <c r="A2" s="14" t="s">
        <v>177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178</v>
      </c>
      <c r="B4" s="7" t="s">
        <v>179</v>
      </c>
      <c r="C4" s="6"/>
      <c r="D4" s="7" t="s">
        <v>180</v>
      </c>
      <c r="E4" s="7" t="s">
        <v>181</v>
      </c>
      <c r="F4" s="7" t="s">
        <v>182</v>
      </c>
    </row>
    <row r="5" spans="1:6" ht="27">
      <c r="A5" s="6" t="s">
        <v>183</v>
      </c>
      <c r="B5" s="8">
        <f>COUNTIF('Exercise Map'!F4:F39,"Yes")</f>
        <v>26</v>
      </c>
      <c r="C5" s="6"/>
      <c r="D5" s="6" t="s">
        <v>43</v>
      </c>
      <c r="E5" s="6" t="s">
        <v>184</v>
      </c>
      <c r="F5" s="6" t="s">
        <v>185</v>
      </c>
    </row>
    <row r="6" spans="1:6" ht="27">
      <c r="A6" s="6" t="s">
        <v>186</v>
      </c>
      <c r="B6" s="8">
        <f>COUNTIF('Exercise Map'!F4:F39,"No")</f>
        <v>10</v>
      </c>
      <c r="C6" s="6"/>
      <c r="D6" s="6" t="s">
        <v>187</v>
      </c>
      <c r="E6" s="6" t="s">
        <v>188</v>
      </c>
      <c r="F6" s="6" t="s">
        <v>189</v>
      </c>
    </row>
    <row r="7" spans="1:6" ht="27">
      <c r="A7" s="6" t="s">
        <v>190</v>
      </c>
      <c r="B7" s="8">
        <f>COUNT('Master Schedule'!L2:L43)</f>
        <v>13</v>
      </c>
      <c r="C7" s="6"/>
      <c r="D7" s="6" t="s">
        <v>21</v>
      </c>
      <c r="E7" s="6" t="s">
        <v>191</v>
      </c>
      <c r="F7" s="6" t="s">
        <v>192</v>
      </c>
    </row>
    <row r="8" spans="1:6" ht="27">
      <c r="A8" s="6" t="s">
        <v>193</v>
      </c>
      <c r="B8" s="8">
        <f ca="1">COUNTIFS('Master Schedule'!P2:P43,"&lt;="&amp;TODAY(),'Master Schedule'!P2:P43,"&gt;0",'Master Schedule'!Q2:Q43,"")</f>
        <v>7</v>
      </c>
      <c r="C8" s="6"/>
      <c r="D8" s="6" t="s">
        <v>32</v>
      </c>
      <c r="E8" s="6" t="s">
        <v>194</v>
      </c>
      <c r="F8" s="6" t="s">
        <v>195</v>
      </c>
    </row>
    <row r="9" spans="1:6" ht="27">
      <c r="A9" s="6" t="s">
        <v>196</v>
      </c>
      <c r="B9" s="8">
        <f>COUNT('Section Plan'!J4:J14)</f>
        <v>0</v>
      </c>
      <c r="C9" s="6"/>
      <c r="D9" s="6" t="s">
        <v>197</v>
      </c>
      <c r="E9" s="6" t="s">
        <v>27</v>
      </c>
      <c r="F9" s="6" t="s">
        <v>198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199</v>
      </c>
      <c r="B12" s="15"/>
      <c r="C12" s="15"/>
      <c r="D12" s="15"/>
      <c r="E12" s="15"/>
      <c r="F12" s="15"/>
    </row>
    <row r="13" spans="1:6" ht="27">
      <c r="A13" s="6" t="s">
        <v>200</v>
      </c>
      <c r="B13" s="6" t="s">
        <v>201</v>
      </c>
      <c r="C13" s="6" t="s">
        <v>202</v>
      </c>
      <c r="D13" s="6"/>
      <c r="E13" s="6"/>
      <c r="F13" s="6"/>
    </row>
    <row r="14" spans="1:6" ht="27">
      <c r="A14" s="6" t="s">
        <v>203</v>
      </c>
      <c r="B14" s="6" t="s">
        <v>204</v>
      </c>
      <c r="C14" s="6" t="s">
        <v>205</v>
      </c>
      <c r="D14" s="6"/>
      <c r="E14" s="6"/>
      <c r="F14" s="6"/>
    </row>
    <row r="15" spans="1:6">
      <c r="A15" s="6" t="s">
        <v>206</v>
      </c>
      <c r="B15" s="6" t="s">
        <v>207</v>
      </c>
      <c r="C15" s="6" t="s">
        <v>208</v>
      </c>
      <c r="D15" s="6"/>
      <c r="E15" s="6"/>
      <c r="F15" s="6"/>
    </row>
    <row r="16" spans="1:6" ht="40.5">
      <c r="A16" s="6" t="s">
        <v>209</v>
      </c>
      <c r="B16" s="6" t="s">
        <v>210</v>
      </c>
      <c r="C16" s="6" t="s">
        <v>211</v>
      </c>
      <c r="D16" s="6"/>
      <c r="E16" s="6"/>
      <c r="F16" s="6"/>
    </row>
    <row r="17" spans="1:6">
      <c r="A17" s="6" t="s">
        <v>212</v>
      </c>
      <c r="B17" s="6" t="s">
        <v>213</v>
      </c>
      <c r="C17" s="6" t="s">
        <v>214</v>
      </c>
      <c r="D17" s="6"/>
      <c r="E17" s="6"/>
      <c r="F17" s="6"/>
    </row>
    <row r="18" spans="1:6" ht="27">
      <c r="A18" s="6" t="s">
        <v>215</v>
      </c>
      <c r="B18" s="6" t="s">
        <v>216</v>
      </c>
      <c r="C18" s="6" t="s">
        <v>217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218</v>
      </c>
      <c r="B20" s="15"/>
      <c r="C20" s="15"/>
      <c r="D20" s="15"/>
      <c r="E20" s="15"/>
      <c r="F20" s="15"/>
    </row>
    <row r="21" spans="1:6" ht="40.5">
      <c r="A21" s="6" t="s">
        <v>32</v>
      </c>
      <c r="B21" s="6" t="s">
        <v>219</v>
      </c>
      <c r="C21" s="6" t="s">
        <v>220</v>
      </c>
      <c r="D21" s="6"/>
      <c r="E21" s="6"/>
      <c r="F21" s="6"/>
    </row>
    <row r="22" spans="1:6" ht="40.5">
      <c r="A22" s="6" t="s">
        <v>121</v>
      </c>
      <c r="B22" s="6" t="s">
        <v>221</v>
      </c>
      <c r="C22" s="6" t="s">
        <v>222</v>
      </c>
      <c r="D22" s="6"/>
      <c r="E22" s="6"/>
      <c r="F22" s="6"/>
    </row>
    <row r="23" spans="1:6" ht="27">
      <c r="A23" s="6" t="s">
        <v>155</v>
      </c>
      <c r="B23" s="6" t="s">
        <v>223</v>
      </c>
      <c r="C23" s="6" t="s">
        <v>224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225</v>
      </c>
      <c r="B1" s="1" t="s">
        <v>226</v>
      </c>
      <c r="C1" s="1" t="s">
        <v>227</v>
      </c>
      <c r="D1" s="1" t="s">
        <v>228</v>
      </c>
    </row>
    <row r="2" spans="1:4" ht="40.5">
      <c r="A2" s="2" t="s">
        <v>229</v>
      </c>
      <c r="B2" s="2" t="s">
        <v>230</v>
      </c>
      <c r="C2" s="2" t="s">
        <v>231</v>
      </c>
      <c r="D2" s="2">
        <v>1</v>
      </c>
    </row>
    <row r="3" spans="1:4" ht="27">
      <c r="A3" s="4" t="s">
        <v>232</v>
      </c>
      <c r="B3" s="4" t="s">
        <v>233</v>
      </c>
      <c r="C3" s="4" t="s">
        <v>234</v>
      </c>
      <c r="D3" s="4">
        <v>2</v>
      </c>
    </row>
    <row r="4" spans="1:4" ht="27">
      <c r="A4" s="2" t="s">
        <v>25</v>
      </c>
      <c r="B4" s="2" t="s">
        <v>235</v>
      </c>
      <c r="C4" s="2" t="s">
        <v>236</v>
      </c>
      <c r="D4" s="2">
        <v>2</v>
      </c>
    </row>
    <row r="5" spans="1:4" ht="27">
      <c r="A5" s="4" t="s">
        <v>40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226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75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27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43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75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53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84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84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27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133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144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43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64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43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43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53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75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133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144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133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43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84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38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72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98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118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142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2026-09-11T03:25:00Z</dcterms:created>
  <dcterms:modified xsi:type="dcterms:W3CDTF">2026-10-04T03:32:05Z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