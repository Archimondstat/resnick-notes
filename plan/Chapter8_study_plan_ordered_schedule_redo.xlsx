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Master Schedule" sheetId="1" r:id="rId1"/>
    <sheet name="Dashboard" sheetId="2" r:id="rId2"/>
    <sheet name="Redo Rules" sheetId="3" r:id="rId3"/>
    <sheet name="Exercise Map" sheetId="4" r:id="rId4"/>
  </sheets>
  <calcPr calcId="144525"/>
</workbook>
</file>

<file path=xl/sharedStrings.xml><?xml version="1.0" encoding="utf-8"?>
<sst xmlns="http://schemas.openxmlformats.org/spreadsheetml/2006/main" count="685" uniqueCount="388">
  <si>
    <t>Order</t>
  </si>
  <si>
    <t>Planned Date</t>
  </si>
  <si>
    <t>Task Type</t>
  </si>
  <si>
    <t>Phase</t>
  </si>
  <si>
    <t>Section(s)</t>
  </si>
  <si>
    <t>Task</t>
  </si>
  <si>
    <t>Exercise</t>
  </si>
  <si>
    <t>Related Result / Reason</t>
  </si>
  <si>
    <t>Prerequisite</t>
  </si>
  <si>
    <t>Proceed Gate</t>
  </si>
  <si>
    <t>Actual Start</t>
  </si>
  <si>
    <t>Actual End (exercise auto)</t>
  </si>
  <si>
    <t>First-pass Status</t>
  </si>
  <si>
    <t>Key Blocker</t>
  </si>
  <si>
    <t>Suggested Redo Date (auto)</t>
  </si>
  <si>
    <t>Actual Redo Date</t>
  </si>
  <si>
    <t>Redo Result</t>
  </si>
  <si>
    <t>Proceed?</t>
  </si>
  <si>
    <t>Notes</t>
  </si>
  <si>
    <t>Read</t>
  </si>
  <si>
    <t>A. Meaning of weak convergence</t>
  </si>
  <si>
    <t>8.1</t>
  </si>
  <si>
    <t>Read the basic definitions. Separate vague, proper, weak, and complete convergence; mark exactly where continuity points of the limit df enter.</t>
  </si>
  <si>
    <t>Start of Chapter 8</t>
  </si>
  <si>
    <t>Read Theorem 8.1.1, weak-limit uniqueness, and Examples 8.1.1–8.1.2. Make a one-page comparison: what converges, what does not, and why the limit must be proper.</t>
  </si>
  <si>
    <t>Equivalence of the four definitions / uniqueness</t>
  </si>
  <si>
    <t>8.1 definitions read</t>
  </si>
  <si>
    <t>8.1 / Ch6 bridge</t>
  </si>
  <si>
    <t>Do Exercise 2: rare spikes; compare convergence in probability, distribution, and almost sure convergence.</t>
  </si>
  <si>
    <t>Ex 2</t>
  </si>
  <si>
    <t>8.1 + Chapter 6 convergence hierarchy</t>
  </si>
  <si>
    <t>8.1 read</t>
  </si>
  <si>
    <t>8.1 / 8.2</t>
  </si>
  <si>
    <t>Do Exercise 4: discrete weak convergence, event indicators, point masses, and the mass-function caveat. Treat it as one multi-part exercise.</t>
  </si>
  <si>
    <t>Ex 4</t>
  </si>
  <si>
    <t>Core mechanics of weak convergence; Scheffe bridge</t>
  </si>
  <si>
    <t>Exercise 2 attempted</t>
  </si>
  <si>
    <t>8.1 / 8.5</t>
  </si>
  <si>
    <t>Do Exercise 10: construct weak convergence without convergence in probability.</t>
  </si>
  <si>
    <t>Ex 10</t>
  </si>
  <si>
    <t>Why distributional convergence does not control the original coupling</t>
  </si>
  <si>
    <t>Exercise 4 attempted</t>
  </si>
  <si>
    <t>Do Exercise 18: give a discrete sequence converging weakly to a distribution with a density.</t>
  </si>
  <si>
    <t>Ex 18</t>
  </si>
  <si>
    <t>Discrete-to-continuous weak convergence intuition</t>
  </si>
  <si>
    <t>Exercise 10 attempted</t>
  </si>
  <si>
    <t>Gate</t>
  </si>
  <si>
    <t>Proceed gate: explain, without formulas first, why convergence in distribution is a statement about laws rather than pointwise behavior of the original random variables; then state the continuity-point definition precisely.</t>
  </si>
  <si>
    <t>Gate before Scheffe</t>
  </si>
  <si>
    <t>Exercises 2, 4, 10, 18 attempted</t>
  </si>
  <si>
    <t>Proceed only if you can distinguish weak convergence from a.s./i.p. convergence and explain the role of C(F).</t>
  </si>
  <si>
    <t>B. Scheffe and order statistics</t>
  </si>
  <si>
    <t>8.2</t>
  </si>
  <si>
    <t>Read Scheffe's lemma. Record both directions carefully: what density convergence is sufficient for, and what weak convergence does NOT imply about densities.</t>
  </si>
  <si>
    <t>Total variation and L1 density distance</t>
  </si>
  <si>
    <t>Block A gate passed</t>
  </si>
  <si>
    <t>8.2.1</t>
  </si>
  <si>
    <t>Read the order-statistics application. Focus on how density asymptotics plus Scheffe turn into convergence in distribution; keep the normalization visible.</t>
  </si>
  <si>
    <t>Order statistics application of Scheffe</t>
  </si>
  <si>
    <t>8.2 read</t>
  </si>
  <si>
    <t>Do Exercise 12: weak convergence to Uniform[0,1] while the densities fail to converge.</t>
  </si>
  <si>
    <t>Ex 12</t>
  </si>
  <si>
    <t>Scheffe caveat / weak vs density convergence</t>
  </si>
  <si>
    <t>Do Exercise 8: exponential order statistics and the Gamma limit.</t>
  </si>
  <si>
    <t>Ex 8</t>
  </si>
  <si>
    <t>Order statistics; direct method vs Renyi spacing representation</t>
  </si>
  <si>
    <t>8.2.1 read</t>
  </si>
  <si>
    <t>Do Exercise 22: sample median / order-statistic limit using Scheffe's lemma.</t>
  </si>
  <si>
    <t>Ex 22</t>
  </si>
  <si>
    <t>Scheffe + asymptotic order statistics</t>
  </si>
  <si>
    <t>Exercise 8 attempted</t>
  </si>
  <si>
    <t>8.2–8.2.1</t>
  </si>
  <si>
    <t>Proceed gate: distinguish weak convergence, total variation convergence, pointwise density convergence, and L1 density convergence. State exactly what Scheffe gives and what it does not give.</t>
  </si>
  <si>
    <t>Gate before Skorohod / mapping</t>
  </si>
  <si>
    <t>Block B exercises attempted</t>
  </si>
  <si>
    <t>Proceed only if the implication arrows are explicit and you have one counterexample for a false converse.</t>
  </si>
  <si>
    <t>C. Skorohod, mapping, and delta</t>
  </si>
  <si>
    <t>8.3</t>
  </si>
  <si>
    <t>Read Proposition 8.3.1, Lemma 8.3.1, and the Baby Skorohod Theorem. Track the quantile construction and the crucial caveat: one-dimensional laws are matched, original dependence is not.</t>
  </si>
  <si>
    <t>Baby Skorohod coupling / quantile map</t>
  </si>
  <si>
    <t>Block B gate passed</t>
  </si>
  <si>
    <t>8.3–8.3.1</t>
  </si>
  <si>
    <t>Read the Continuous Mapping Theorem and Delta Method. Separate the formal theorem from the intuition: continuity transfers the limit; the delta method is first-order linearization.</t>
  </si>
  <si>
    <t>Continuous mapping + delta method</t>
  </si>
  <si>
    <t>8.3 read</t>
  </si>
  <si>
    <t>8.3.1</t>
  </si>
  <si>
    <t>Do Exercise 1: binomial estimator and the log-odds transformation by the delta method.</t>
  </si>
  <si>
    <t>Ex 1</t>
  </si>
  <si>
    <t>Delta method in statistical estimation</t>
  </si>
  <si>
    <t>8.3.1 read</t>
  </si>
  <si>
    <t>Do Exercise 7: transformed sample means; identify the derivative and limiting scale before calculating.</t>
  </si>
  <si>
    <t>Ex 7</t>
  </si>
  <si>
    <t>Delta-method mechanics</t>
  </si>
  <si>
    <t>Exercise 1 attempted</t>
  </si>
  <si>
    <t>Do Exercise 19: the second continuous mapping theorem.</t>
  </si>
  <si>
    <t>Ex 19</t>
  </si>
  <si>
    <t>Mapping theorem with n-dependent maps</t>
  </si>
  <si>
    <t>Exercise 7 attempted</t>
  </si>
  <si>
    <t>8.3.1 / 8.6</t>
  </si>
  <si>
    <t>Do Exercise 23: multi-part delta-method and sample-variance problem. Protected deep exercise: if it needs more than one day, shift the schedule; do not start a new exercise in parallel.</t>
  </si>
  <si>
    <t>Ex 23</t>
  </si>
  <si>
    <t>Delta method + sample variance + Slutsky-style reasoning</t>
  </si>
  <si>
    <t>Exercise 19 attempted</t>
  </si>
  <si>
    <t>Proceed gate: explain why Skorohod is a coupling device rather than a claim about the original variables, and reproduce the delta-method proof skeleton as 'linearization + negligible remainder + limit transfer'.</t>
  </si>
  <si>
    <t>Gate before Portmanteau</t>
  </si>
  <si>
    <t>Block C exercises attempted</t>
  </si>
  <si>
    <t>Proceed only if the logical use of Skorohod/CMT is clear; do not memorize the coupling construction without its purpose.</t>
  </si>
  <si>
    <t>D. Portmanteau and the convergence map</t>
  </si>
  <si>
    <t>8.4</t>
  </si>
  <si>
    <t>Read the Portmanteau Theorem and its proof. Build a three-row equivalence table: df at continuity points, bounded continuous test functions, and continuity sets.</t>
  </si>
  <si>
    <t>Portmanteau theorem</t>
  </si>
  <si>
    <t>Block C gate passed</t>
  </si>
  <si>
    <t>8.5</t>
  </si>
  <si>
    <t>Read the relations among modes of convergence. Add Chapter 8 to your Chapter 6 convergence map, including the special constant-limit equivalence between i.p. and distribution.</t>
  </si>
  <si>
    <t>a.s. =&gt; i.p. =&gt; distribution; constant-limit converse</t>
  </si>
  <si>
    <t>8.4 read</t>
  </si>
  <si>
    <t>Do Exercise 5: monotone functions converging to a continuous limit; derive uniform convergence of cdfs when the weak limit is continuous.</t>
  </si>
  <si>
    <t>Ex 5</t>
  </si>
  <si>
    <t>Continuity-point convergence strengthened by monotonicity</t>
  </si>
  <si>
    <t>Do Exercise 9: characterize weak convergence using continuous functions with compact support.</t>
  </si>
  <si>
    <t>Ex 9</t>
  </si>
  <si>
    <t>Alternative Portmanteau test-function class</t>
  </si>
  <si>
    <t>Exercise 5 attempted</t>
  </si>
  <si>
    <t>8.4 / Ch6</t>
  </si>
  <si>
    <t>Do Exercise 31: weak convergence plus a uniform moment bound; use Baby Skorohod and uniform integrability to recover moment convergence.</t>
  </si>
  <si>
    <t>Ex 31</t>
  </si>
  <si>
    <t>Weak convergence + Chapter 6 UI</t>
  </si>
  <si>
    <t>Exercise 9 attempted</t>
  </si>
  <si>
    <t>8.1 / 8.4</t>
  </si>
  <si>
    <t>Do Exercise 32: identify the Bernoulli weak limit from interior cdf convergence.</t>
  </si>
  <si>
    <t>Ex 32</t>
  </si>
  <si>
    <t>Continuity-point logic when the limit has jumps</t>
  </si>
  <si>
    <t>Exercise 31 attempted</t>
  </si>
  <si>
    <t>8.4 / 8.2</t>
  </si>
  <si>
    <t>Do Exercise 36: reweight probability measures by a continuous density g and prove weak convergence of the new measures.</t>
  </si>
  <si>
    <t>Ex 36</t>
  </si>
  <si>
    <t>Portmanteau / Scheffe-style change of measure</t>
  </si>
  <si>
    <t>Exercise 32 attempted</t>
  </si>
  <si>
    <t>8.4–8.5</t>
  </si>
  <si>
    <t>Proceed gate: from a weak-convergence claim, choose the easiest of the three Portmanteau formulations and justify why it applies. Also reproduce the full convergence hierarchy from Chapter 6 through Chapter 8.</t>
  </si>
  <si>
    <t>Gate before converging-together results</t>
  </si>
  <si>
    <t>Block D exercises attempted</t>
  </si>
  <si>
    <t>Proceed only if you can switch formulations deliberately rather than automatically using cdfs.</t>
  </si>
  <si>
    <t>E. Converging together and dependence</t>
  </si>
  <si>
    <t>8.6</t>
  </si>
  <si>
    <t>Read Slutsky's theorem and the Second Converging Together Theorem. Write the approximation template: tractable X_{u,n}, limit X_u, approximation error, then u -&gt; infinity.</t>
  </si>
  <si>
    <t>Slutsky / second converging-together theorem</t>
  </si>
  <si>
    <t>Block D gate passed</t>
  </si>
  <si>
    <t>8.6.1</t>
  </si>
  <si>
    <t>Read the m-dependent CLT application. First pass goal: reproduce the variance calculation and the big-block/little-block architecture; do not get lost in block bookkeeping.</t>
  </si>
  <si>
    <t>Hoeffding–Robbins m-dependent CLT / blocking</t>
  </si>
  <si>
    <t>8.6 read</t>
  </si>
  <si>
    <t>8.1 / 8.6</t>
  </si>
  <si>
    <t>Do Exercise 20: scaled geometric waiting time converges to a unit exponential.</t>
  </si>
  <si>
    <t>Ex 20</t>
  </si>
  <si>
    <t>Direct distributional limit / scaling</t>
  </si>
  <si>
    <t>Do Exercise 21: first coincidence in sampling with replacement and its non-degenerate scaling limit.</t>
  </si>
  <si>
    <t>Ex 21</t>
  </si>
  <si>
    <t>Distributional scaling / birthday-collision limit</t>
  </si>
  <si>
    <t>Exercise 20 attempted</t>
  </si>
  <si>
    <t>8.6 / Ch9 bridge</t>
  </si>
  <si>
    <t>Do Exercise 24: closure under convolution for normal, Poisson, and Cauchy types; decide what happens for the exponential type.</t>
  </si>
  <si>
    <t>Ex 24</t>
  </si>
  <si>
    <t>Sums, types, and bridge to Chapter 9 characteristic functions</t>
  </si>
  <si>
    <t>Exercise 21 attempted</t>
  </si>
  <si>
    <t>8.4 / CLT application</t>
  </si>
  <si>
    <t>Do Exercise 14: a coordinate of the uniform distribution on the sphere converges to standard normal.</t>
  </si>
  <si>
    <t>Ex 14</t>
  </si>
  <si>
    <t>High-dimensional normalization + weak convergence</t>
  </si>
  <si>
    <t>Exercise 24 attempted</t>
  </si>
  <si>
    <t>8.6–8.6.1</t>
  </si>
  <si>
    <t>Proceed gate: explain Slutsky as 'small perturbations do not change the weak limit' and explain the big-block/little-block proof as an approximation argument feeding the second converging-together theorem.</t>
  </si>
  <si>
    <t>Gate before convergence to types</t>
  </si>
  <si>
    <t>Block E exercises attempted</t>
  </si>
  <si>
    <t>Proceed only if you can identify the approximating object and the error term in the m-dependent CLT.</t>
  </si>
  <si>
    <t>F. Convergence to types and extremes</t>
  </si>
  <si>
    <t>8.7</t>
  </si>
  <si>
    <t>Read the Convergence to Types Theorem. Focus on why two different normalizations of the same non-degenerate limit force the normalizing constants themselves to converge.</t>
  </si>
  <si>
    <t>Convergence to Types Theorem</t>
  </si>
  <si>
    <t>Block E gate passed</t>
  </si>
  <si>
    <t>8.7.1</t>
  </si>
  <si>
    <t>Read the extreme-value application. First pass: record the seven-step proof architecture and the three possible limit types; only deepen a functional-equation step if it blocks the architecture.</t>
  </si>
  <si>
    <t>Extreme-value limit types</t>
  </si>
  <si>
    <t>8.7 read</t>
  </si>
  <si>
    <t>Do Exercise 6: affine uniqueness for a non-degenerate distribution. This is the lemma used inside the convergence-to-types proof.</t>
  </si>
  <si>
    <t>Ex 6</t>
  </si>
  <si>
    <t>Uniqueness of affine type parameters</t>
  </si>
  <si>
    <t>Do Exercise 17: normalize maxima of iid Uniform(0,1) variables and find a non-degenerate limit.</t>
  </si>
  <si>
    <t>Ex 17</t>
  </si>
  <si>
    <t>Elementary extreme-value normalization</t>
  </si>
  <si>
    <t>8.7.1 read</t>
  </si>
  <si>
    <t>8.7.1 / Ch7 bridge</t>
  </si>
  <si>
    <t>Do Exercise 16: regular variation criterion for Frechet-type maxima. Protected deep exercise; keep the Chapter 7 heavy-tail connection explicit.</t>
  </si>
  <si>
    <t>Ex 16</t>
  </si>
  <si>
    <t>Regular variation / maxima / Chapter 7 heavy-tail bridge</t>
  </si>
  <si>
    <t>Exercise 17 attempted</t>
  </si>
  <si>
    <t>Do Exercise 26: symmetrize the normalized partial sums and use convergence to types.</t>
  </si>
  <si>
    <t>Ex 26</t>
  </si>
  <si>
    <t>Convergence to types for sums; removal of centering</t>
  </si>
  <si>
    <t>Exercise 16 attempted</t>
  </si>
  <si>
    <t>Do Exercise 27: obtain a limit law for minima of iid non-negative variables from local density behavior.</t>
  </si>
  <si>
    <t>Ex 27</t>
  </si>
  <si>
    <t>Extreme-value theory for minima</t>
  </si>
  <si>
    <t>Exercise 26 attempted</t>
  </si>
  <si>
    <t>8.3.1 / 8.7.1</t>
  </si>
  <si>
    <t>Do Exercise 34: derive the Weibull-maximum weak limit from the exponential maximum using the delta method.</t>
  </si>
  <si>
    <t>Ex 34</t>
  </si>
  <si>
    <t>Delta method + extremes</t>
  </si>
  <si>
    <t>Exercise 27 attempted</t>
  </si>
  <si>
    <t>8.7–8.7.1</t>
  </si>
  <si>
    <t>Proceed gate: state the convergence-to-types conclusion, explain what non-degeneracy prevents, and describe the three extreme-value types conceptually. Do not require yourself to reproduce every Hamel/Cauchy functional-equation detail before seeing the whole proof.</t>
  </si>
  <si>
    <t>Gate before chapter summary</t>
  </si>
  <si>
    <t>Block F exercises attempted</t>
  </si>
  <si>
    <t>Proceed only if the theorem architecture is stable; unresolved technical substeps go to redo, not sideways expansion.</t>
  </si>
  <si>
    <t>Summary</t>
  </si>
  <si>
    <t>G. Chapter summary</t>
  </si>
  <si>
    <t>Chapter 8</t>
  </si>
  <si>
    <t>Write the final Chapter 8 summary around: definitions, main results, proof ideas, technical tricks, pitfalls, and links to Chapters 6, 7, and 9. Make the convergence map the backbone.</t>
  </si>
  <si>
    <t>All six block gates passed</t>
  </si>
  <si>
    <t>Final redo sweep: sort by Suggested Redo Date and resolve unfinished Totally ignorance / Spark / Skeleton rows. Only after this decide whether any optional exercise from the Exercise Map deserves promotion.</t>
  </si>
  <si>
    <t>Chapter summary drafted</t>
  </si>
  <si>
    <t>Resnick Chapter 8 Schedule</t>
  </si>
  <si>
    <t>Instruction: B3 records the baseline start date; Planned Date is a reference schedule, not a pace target. Fill Actual Start. For exercises, diagnose the first pass, then use the automatic redo date. Exercise Actual End is the actual redo date.</t>
  </si>
  <si>
    <t>Plan start date (edit)</t>
  </si>
  <si>
    <t>Total scheduled tasks</t>
  </si>
  <si>
    <t>Reading rows</t>
  </si>
  <si>
    <t>Exercise rows (core scheduled)</t>
  </si>
  <si>
    <t>Gate rows</t>
  </si>
  <si>
    <t>Summary rows</t>
  </si>
  <si>
    <t>Optional / unscheduled exercises</t>
  </si>
  <si>
    <t>Actual redo dates filled</t>
  </si>
  <si>
    <t>Redo due / unresolved</t>
  </si>
  <si>
    <t>Totally ignorance</t>
  </si>
  <si>
    <t>Spark</t>
  </si>
  <si>
    <t>Skeleton</t>
  </si>
  <si>
    <t>Crack it</t>
  </si>
  <si>
    <t>Main fill-out columns</t>
  </si>
  <si>
    <t>K, M:N, P:Q, R:S in Master Schedule</t>
  </si>
  <si>
    <t>Depth-control rule</t>
  </si>
  <si>
    <t>Core schedule first; optional exercises are promoted only after a block gate or after the chapter summary.</t>
  </si>
  <si>
    <t>Meaning</t>
  </si>
  <si>
    <t>Recommended Action</t>
  </si>
  <si>
    <t>Redo Offset Days</t>
  </si>
  <si>
    <t>Cannot write meaningful structure.</t>
  </si>
  <si>
    <t>Redo next day after rereading the exact theorem/definition; ask for minimum hint only if still blank.</t>
  </si>
  <si>
    <t>Blur picture appears but needs ignition.</t>
  </si>
  <si>
    <t>Redo after two days with one minimum hint.</t>
  </si>
  <si>
    <t>Direction is right but missing the logical bridge.</t>
  </si>
  <si>
    <t>Redo after two days; focus only on the missing bridge.</t>
  </si>
  <si>
    <t>Logic basically correct.</t>
  </si>
  <si>
    <t>C1 after two days; no immediate full rewrite unless the proof was messy.</t>
  </si>
  <si>
    <t>Note</t>
  </si>
  <si>
    <t>Actual Start is the first-attempt date. Suggested Redo Date = Actual Start + status offset. Exercise Actual End = Actual Redo Date.</t>
  </si>
  <si>
    <t>Chapter 8 Depth-Control Rules</t>
  </si>
  <si>
    <t>Core before optional</t>
  </si>
  <si>
    <t>Complete the scheduled core exercise set before promoting Advanced/Optional items.</t>
  </si>
  <si>
    <t>A Useful exercise may be promoted after its block gate if it tests a genuinely different idea.</t>
  </si>
  <si>
    <t>Heavy exercise</t>
  </si>
  <si>
    <t>Ex 4, 16, and 23 may legitimately take more than one day.</t>
  </si>
  <si>
    <t>Freeze the schedule and continue the same exercise; do not open another exercise merely to keep the calendar moving.</t>
  </si>
  <si>
    <t>Equivalence / alternate-proof trap</t>
  </si>
  <si>
    <t>Do not expand one exercise into every possible direction by default.</t>
  </si>
  <si>
    <t>After one correct proof and one genuinely illuminating alternative, ask whether another direction changes the chapter architecture. If not, park it.</t>
  </si>
  <si>
    <t>Block gate</t>
  </si>
  <si>
    <t>A gate checks architecture, not perfection.</t>
  </si>
  <si>
    <t>Technical gaps become redo items; a gate should prevent details from erasing the big picture.</t>
  </si>
  <si>
    <t>Final redo</t>
  </si>
  <si>
    <t>Redo still matters even when the first proof was basically correct.</t>
  </si>
  <si>
    <t>The goal is independent reproduction, not merely recognizing the book's argument.</t>
  </si>
  <si>
    <t>Optional sweep</t>
  </si>
  <si>
    <t>Optional exercises are not 'failed' or 'skipped'.</t>
  </si>
  <si>
    <t>After the chapter summary, choose them only for a specific conceptual reason.</t>
  </si>
  <si>
    <t>Minefield protocol</t>
  </si>
  <si>
    <t>When an exercise is shared in chat, diagnose the user's literal idea first.</t>
  </si>
  <si>
    <t>Identify the exact logical gap before giving hints; do not jump directly to a full solution.</t>
  </si>
  <si>
    <t>Summary rule</t>
  </si>
  <si>
    <t>Chapter summary is architectural reconstruction.</t>
  </si>
  <si>
    <t>Organize it by definitions, main results, proof ideas, technical tricks, pitfalls, and connections.</t>
  </si>
  <si>
    <t>Chapter 8 Exercise Map — all 36 exercises</t>
  </si>
  <si>
    <t>Descriptions below are planning summaries, not replacements for the book's problem statements. Priority and scheduling are our study-plan judgments.</t>
  </si>
  <si>
    <t>Primary Tool / Section</t>
  </si>
  <si>
    <t>Planning Summary</t>
  </si>
  <si>
    <t>Role</t>
  </si>
  <si>
    <t>Priority</t>
  </si>
  <si>
    <t>Scheduled?</t>
  </si>
  <si>
    <t>Suggested After</t>
  </si>
  <si>
    <t>Depth Risk</t>
  </si>
  <si>
    <t>Planning Note</t>
  </si>
  <si>
    <t>8.3.1 Delta Method</t>
  </si>
  <si>
    <t>Binomial estimator; delta method for log-odds</t>
  </si>
  <si>
    <t>Core</t>
  </si>
  <si>
    <t>Yes</t>
  </si>
  <si>
    <t>Normal</t>
  </si>
  <si>
    <t>Statistical meaning + mechanics.</t>
  </si>
  <si>
    <t>Rare spikes; compare i.p., weak, and a.s. convergence</t>
  </si>
  <si>
    <t>Excellent convergence-mode counterexample.</t>
  </si>
  <si>
    <t>8.1 / Ch7–9 bridge</t>
  </si>
  <si>
    <t>Products of uniforms; a.s. limit and centered/scaled weak limit</t>
  </si>
  <si>
    <t>Extension</t>
  </si>
  <si>
    <t>Useful</t>
  </si>
  <si>
    <t>No</t>
  </si>
  <si>
    <t>Block A or Chapter 9</t>
  </si>
  <si>
    <t>Good bridge, but not needed for the Chapter 8 backbone.</t>
  </si>
  <si>
    <t>Discrete weak convergence, Scheffe, events, point masses, mass-function caveat</t>
  </si>
  <si>
    <t>Multi-part</t>
  </si>
  <si>
    <t>Treat as one exercise; pause schedule if needed.</t>
  </si>
  <si>
    <t>Monotone functions and uniform cdf convergence with continuous limit</t>
  </si>
  <si>
    <t>Strengthens continuity-point convergence.</t>
  </si>
  <si>
    <t>Affine uniqueness lemma for a non-degenerate df</t>
  </si>
  <si>
    <t>A proof component of convergence to types.</t>
  </si>
  <si>
    <t>Delta-method transforms of sample means</t>
  </si>
  <si>
    <t>Repetition is useful here because derivatives/scales should become automatic.</t>
  </si>
  <si>
    <t>Exponential order statistic -&gt; Gamma limit</t>
  </si>
  <si>
    <t>Compare brute-force and Renyi-spacing approaches.</t>
  </si>
  <si>
    <t>Compact-support test functions characterize weak convergence</t>
  </si>
  <si>
    <t>Portmanteau refinement.</t>
  </si>
  <si>
    <t>Weak convergence without convergence in probability</t>
  </si>
  <si>
    <t>Locks in the coupling distinction.</t>
  </si>
  <si>
    <t>Levy metric metrizes weak convergence</t>
  </si>
  <si>
    <t>Theory Extension</t>
  </si>
  <si>
    <t>Advanced/Optional</t>
  </si>
  <si>
    <t>After Block D</t>
  </si>
  <si>
    <t>High</t>
  </si>
  <si>
    <t>Valuable topology, but can become a long technical detour.</t>
  </si>
  <si>
    <t>Weak convergence while densities do not converge</t>
  </si>
  <si>
    <t>Direct warning against confusing weak and density convergence.</t>
  </si>
  <si>
    <t>Characterize weak convergence in normal / Poisson / exponential families</t>
  </si>
  <si>
    <t>Good parametric intuition; optional because the core map is already covered.</t>
  </si>
  <si>
    <t>Coordinate of high-dimensional sphere -&gt; standard normal</t>
  </si>
  <si>
    <t>Application</t>
  </si>
  <si>
    <t>Block E</t>
  </si>
  <si>
    <t>Beautiful application of normalization + weak convergence.</t>
  </si>
  <si>
    <t>Weissman extension of convergence-to-types</t>
  </si>
  <si>
    <t>After Block F</t>
  </si>
  <si>
    <t>Do only if you want more type-theorem structure.</t>
  </si>
  <si>
    <t>Regular variation iff Frechet-type maxima; Cauchy/Pareto checks</t>
  </si>
  <si>
    <t>Core Extension</t>
  </si>
  <si>
    <t>Protected deep exercise; strong bridge from Chapter 7 heavy tails.</t>
  </si>
  <si>
    <t>Uniform maxima under suitable normalization</t>
  </si>
  <si>
    <t>Simplest hands-on extreme-value normalization.</t>
  </si>
  <si>
    <t>Discrete distributions converging to a continuous limit</t>
  </si>
  <si>
    <t>Low</t>
  </si>
  <si>
    <t>Quick intuition builder.</t>
  </si>
  <si>
    <t>Second continuous mapping theorem</t>
  </si>
  <si>
    <t>Medium</t>
  </si>
  <si>
    <t>Important for n-dependent transformations.</t>
  </si>
  <si>
    <t>Scaled geometric waiting time -&gt; exponential</t>
  </si>
  <si>
    <t>Clean distributional scaling example.</t>
  </si>
  <si>
    <t>First coincidence time / birthday scaling</t>
  </si>
  <si>
    <t>Good nontrivial cdf limit.</t>
  </si>
  <si>
    <t>Sample median / order-statistic limit by Scheffe</t>
  </si>
  <si>
    <t>Connects order statistics to asymptotic normality.</t>
  </si>
  <si>
    <t>Delta method plus sample variance, multiple parts</t>
  </si>
  <si>
    <t>Protected deep exercise; do not split attention across other exercises.</t>
  </si>
  <si>
    <t>Convolution closure of normal, Poisson, Cauchy types; exponential?</t>
  </si>
  <si>
    <t>Bridge</t>
  </si>
  <si>
    <t>Sets up why transforms matter in Chapter 9.</t>
  </si>
  <si>
    <t>8.4 / Ch9 bridge</t>
  </si>
  <si>
    <t>Convolution transforms, smoothing, approximation, vague-limit examples</t>
  </si>
  <si>
    <t>After Chapter Summary</t>
  </si>
  <si>
    <t>Very High</t>
  </si>
  <si>
    <t>Large multi-part problem; do only for a specific reason.</t>
  </si>
  <si>
    <t>Symmetrization and convergence to types for normalized sums</t>
  </si>
  <si>
    <t>Deep but central use of the type theorem.</t>
  </si>
  <si>
    <t>Extreme-value limit for minima</t>
  </si>
  <si>
    <t>Complements maxima without adding a new theorem family.</t>
  </si>
  <si>
    <t>Oscillating dyadic densities; weak convergence to uniform</t>
  </si>
  <si>
    <t>After Block B or D</t>
  </si>
  <si>
    <t>A richer version of the density-convergence warning.</t>
  </si>
  <si>
    <t>Smooth normalizing functions in convergence to types</t>
  </si>
  <si>
    <t>Technical normalization theorem; not needed before summary.</t>
  </si>
  <si>
    <t>8.7 / Ch6</t>
  </si>
  <si>
    <t>Replace arbitrary normalization by mean and sd under moment control</t>
  </si>
  <si>
    <t>Useful but proof can become moment/UI-heavy.</t>
  </si>
  <si>
    <t>Weak convergence + uniform moment control -&gt; mean/variance convergence</t>
  </si>
  <si>
    <t>Excellent Chapter 6 UI connection.</t>
  </si>
  <si>
    <t>Interior cdf convergence identifies Bernoulli limit</t>
  </si>
  <si>
    <t>Forces careful handling of discontinuity points.</t>
  </si>
  <si>
    <t>Continuous df is uniformly continuous</t>
  </si>
  <si>
    <t>Review</t>
  </si>
  <si>
    <t>Any time</t>
  </si>
  <si>
    <t>Already appeared earlier in the book; use as review only if needed.</t>
  </si>
  <si>
    <t>Weibull maxima from exponential maxima via delta method</t>
  </si>
  <si>
    <t>Connects two central Chapter 8 tools.</t>
  </si>
  <si>
    <t>Equicontinuous bounded test functions; convergence uniform in parameter</t>
  </si>
  <si>
    <t>Useful generalization, but not needed for the first pass.</t>
  </si>
  <si>
    <t>Continuous reweighting of measures preserves weak convergence</t>
  </si>
  <si>
    <t>Good synthesis of test functions and density ideas.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</si>
</sst>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theme="1"/>
      <name val="Calibri"/>
      <charset val="134"/>
    </font>
    <font>
      <b/>
      <sz val="13"/>
      <color theme="3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3F3F76"/>
      <name val="Calibri"/>
      <charset val="134"/>
    </font>
    <font>
      <b/>
      <sz val="11"/>
      <color rgb="FFFA7D00"/>
      <name val="Calibri"/>
      <charset val="134"/>
    </font>
    <font>
      <sz val="11"/>
      <color rgb="FF9C0006"/>
      <name val="Calibri"/>
      <charset val="134"/>
    </font>
    <font>
      <b/>
      <sz val="11"/>
      <color rgb="FF3F3F3F"/>
      <name val="Calibri"/>
      <charset val="134"/>
    </font>
    <font>
      <b/>
      <sz val="15"/>
      <color theme="3"/>
      <name val="Calibri"/>
      <charset val="134"/>
    </font>
    <font>
      <sz val="11"/>
      <color rgb="FF9C6500"/>
      <name val="Calibri"/>
      <charset val="134"/>
    </font>
    <font>
      <b/>
      <sz val="11"/>
      <color rgb="FFFFFFFF"/>
      <name val="Calibri"/>
      <charset val="134"/>
    </font>
    <font>
      <b/>
      <sz val="11"/>
      <color theme="3"/>
      <name val="Calibri"/>
      <charset val="134"/>
    </font>
    <font>
      <b/>
      <sz val="18"/>
      <color theme="3"/>
      <name val="Calibri"/>
      <charset val="134"/>
    </font>
    <font>
      <sz val="11"/>
      <color rgb="FF0000FF"/>
      <name val="Calibri"/>
      <charset val="134"/>
    </font>
    <font>
      <sz val="11"/>
      <color theme="0"/>
      <name val="Calibri"/>
      <charset val="134"/>
    </font>
    <font>
      <i/>
      <sz val="11"/>
      <color rgb="FF7F7F7F"/>
      <name val="Calibri"/>
      <charset val="134"/>
    </font>
    <font>
      <sz val="11"/>
      <color rgb="FF800080"/>
      <name val="Calibri"/>
      <charset val="134"/>
    </font>
    <font>
      <sz val="11"/>
      <color rgb="FF006100"/>
      <name val="Calibri"/>
      <charset val="134"/>
    </font>
    <font>
      <sz val="11"/>
      <color rgb="FFFA7D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E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2" borderId="5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left" wrapText="1"/>
    </xf>
    <xf numFmtId="0" fontId="0" fillId="5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  <xf numFmtId="0" fontId="3" fillId="2" borderId="0" xfId="49" applyFont="1" applyFill="1" applyAlignment="1">
      <alignment horizontal="center" vertical="center" wrapText="1"/>
    </xf>
    <xf numFmtId="0" fontId="0" fillId="0" borderId="0" xfId="49" applyAlignment="1">
      <alignment vertical="top" wrapText="1"/>
    </xf>
    <xf numFmtId="176" fontId="0" fillId="0" borderId="0" xfId="0" applyNumberFormat="1" applyFont="1" applyFill="1" applyBorder="1" applyAlignment="1">
      <alignment vertical="top" wrapText="1"/>
    </xf>
    <xf numFmtId="176" fontId="0" fillId="0" borderId="0" xfId="49" applyNumberFormat="1" applyAlignment="1">
      <alignment vertical="top" wrapText="1"/>
    </xf>
    <xf numFmtId="176" fontId="0" fillId="0" borderId="0" xfId="0" applyNumberFormat="1" applyFont="1" applyFill="1" applyBorder="1"/>
    <xf numFmtId="0" fontId="0" fillId="0" borderId="0" xfId="49" applyAlignment="1">
      <alignment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6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F4B0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ScheduleTable" displayName="MasterScheduleTable" ref="A1:R64">
  <tableColumns count="18">
    <tableColumn id="1" name="Order"/>
    <tableColumn id="2" name="Planned Date"/>
    <tableColumn id="3" name="Task Type"/>
    <tableColumn id="4" name="Phase"/>
    <tableColumn id="5" name="Section(s)"/>
    <tableColumn id="6" name="Task"/>
    <tableColumn id="7" name="Exercise"/>
    <tableColumn id="8" name="Related Result / Reason"/>
    <tableColumn id="9" name="Prerequisite"/>
    <tableColumn id="10" name="Proceed Gate"/>
    <tableColumn id="11" name="Actual Start"/>
    <tableColumn id="12" name="Actual End"/>
    <tableColumn id="13" name="First-pass Status"/>
    <tableColumn id="14" name="Key Blocker"/>
    <tableColumn id="15" name="Suggested Redo Date (auto)"/>
    <tableColumn id="16" name="Redo Result"/>
    <tableColumn id="17" name="Proceed?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doRulesTable" displayName="RedoRulesTable" ref="A1:D6">
  <tableColumns count="4">
    <tableColumn id="1" name="First-pass Status"/>
    <tableColumn id="2" name="Meaning"/>
    <tableColumn id="3" name="Recommended Action"/>
    <tableColumn id="4" name="Redo Offset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zoomScale="70" zoomScaleNormal="70" workbookViewId="0">
      <selection activeCell="K2" sqref="K2"/>
    </sheetView>
  </sheetViews>
  <sheetFormatPr defaultColWidth="9" defaultRowHeight="14.25"/>
  <cols>
    <col min="1" max="1" width="8" customWidth="1"/>
    <col min="2" max="3" width="12" customWidth="1"/>
    <col min="4" max="4" width="24" customWidth="1"/>
    <col min="5" max="5" width="16" customWidth="1"/>
    <col min="6" max="6" width="37.5" customWidth="1"/>
    <col min="7" max="7" width="10" customWidth="1"/>
    <col min="8" max="8" width="19.875" customWidth="1"/>
    <col min="9" max="9" width="21.75" customWidth="1"/>
    <col min="10" max="10" width="18.375" customWidth="1"/>
    <col min="11" max="11" width="17.875" customWidth="1"/>
    <col min="12" max="12" width="14" customWidth="1"/>
    <col min="13" max="13" width="20" customWidth="1"/>
    <col min="14" max="14" width="28" customWidth="1"/>
    <col min="15" max="15" width="18" customWidth="1"/>
    <col min="16" max="16" width="16" customWidth="1"/>
    <col min="17" max="17" width="12" customWidth="1"/>
    <col min="18" max="18" width="10" customWidth="1"/>
    <col min="19" max="19" width="36" customWidth="1"/>
  </cols>
  <sheetData>
    <row r="1" ht="32.1" customHeight="1" spans="1:1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ht="57" spans="1:19">
      <c r="A2" s="14">
        <v>1</v>
      </c>
      <c r="B2" s="15">
        <v>46272</v>
      </c>
      <c r="C2" s="14" t="s">
        <v>19</v>
      </c>
      <c r="D2" s="14" t="s">
        <v>20</v>
      </c>
      <c r="E2" s="14" t="s">
        <v>21</v>
      </c>
      <c r="F2" s="14" t="s">
        <v>22</v>
      </c>
      <c r="G2" s="14"/>
      <c r="H2" s="14"/>
      <c r="I2" s="14" t="s">
        <v>23</v>
      </c>
      <c r="J2" s="14"/>
      <c r="K2" s="15">
        <v>46272</v>
      </c>
      <c r="L2" s="15" t="str">
        <f t="shared" ref="L2:L33" si="0">IF($P2&lt;&gt;"",$P2,"")</f>
        <v/>
      </c>
      <c r="M2" s="14"/>
      <c r="N2" s="14"/>
      <c r="O2" s="15"/>
      <c r="P2" s="15"/>
      <c r="Q2" s="14"/>
      <c r="R2" s="14"/>
      <c r="S2" s="18"/>
    </row>
    <row r="3" ht="57" spans="1:19">
      <c r="A3" s="14">
        <v>2</v>
      </c>
      <c r="B3" s="15">
        <v>46273</v>
      </c>
      <c r="C3" s="14" t="s">
        <v>19</v>
      </c>
      <c r="D3" s="14" t="s">
        <v>20</v>
      </c>
      <c r="E3" s="14" t="s">
        <v>21</v>
      </c>
      <c r="F3" s="14" t="s">
        <v>24</v>
      </c>
      <c r="G3" s="14"/>
      <c r="H3" s="14" t="s">
        <v>25</v>
      </c>
      <c r="I3" s="14" t="s">
        <v>26</v>
      </c>
      <c r="J3" s="14"/>
      <c r="K3" s="15"/>
      <c r="L3" s="15" t="str">
        <f t="shared" si="0"/>
        <v/>
      </c>
      <c r="M3" s="14"/>
      <c r="N3" s="14"/>
      <c r="O3" s="15"/>
      <c r="P3" s="15"/>
      <c r="Q3" s="14"/>
      <c r="R3" s="14"/>
      <c r="S3" s="18"/>
    </row>
    <row r="4" ht="42.75" spans="1:19">
      <c r="A4" s="14">
        <v>3</v>
      </c>
      <c r="B4" s="15">
        <v>46274</v>
      </c>
      <c r="C4" s="14" t="s">
        <v>6</v>
      </c>
      <c r="D4" s="14" t="s">
        <v>20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  <c r="J4" s="14"/>
      <c r="K4" s="17"/>
      <c r="L4" s="15" t="str">
        <f t="shared" si="0"/>
        <v/>
      </c>
      <c r="M4" s="14"/>
      <c r="N4" s="14"/>
      <c r="O4" s="15" t="str">
        <f>IF($P4&lt;&gt;"",$P4,"")</f>
        <v/>
      </c>
      <c r="P4" s="15"/>
      <c r="Q4" s="14"/>
      <c r="R4" s="14"/>
      <c r="S4" s="18"/>
    </row>
    <row r="5" ht="57" spans="1:19">
      <c r="A5" s="14">
        <v>4</v>
      </c>
      <c r="B5" s="15">
        <v>46275</v>
      </c>
      <c r="C5" s="14" t="s">
        <v>6</v>
      </c>
      <c r="D5" s="14" t="s">
        <v>20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J5" s="14"/>
      <c r="K5" s="15"/>
      <c r="L5" s="15" t="str">
        <f t="shared" si="0"/>
        <v/>
      </c>
      <c r="M5" s="14"/>
      <c r="N5" s="14"/>
      <c r="O5" s="15" t="str">
        <f>IF(AND($K5&lt;&gt;"",$M5&lt;&gt;""),$K5+VLOOKUP($M5,'Redo Rules'!$A$2:$D$5,4,FALSE),"")</f>
        <v/>
      </c>
      <c r="P5" s="15"/>
      <c r="Q5" s="14"/>
      <c r="R5" s="14"/>
      <c r="S5" s="18"/>
    </row>
    <row r="6" ht="57" spans="1:19">
      <c r="A6" s="14">
        <v>5</v>
      </c>
      <c r="B6" s="15">
        <v>46276</v>
      </c>
      <c r="C6" s="14" t="s">
        <v>6</v>
      </c>
      <c r="D6" s="14" t="s">
        <v>20</v>
      </c>
      <c r="E6" s="14" t="s">
        <v>37</v>
      </c>
      <c r="F6" s="14" t="s">
        <v>38</v>
      </c>
      <c r="G6" s="14" t="s">
        <v>39</v>
      </c>
      <c r="H6" s="14" t="s">
        <v>40</v>
      </c>
      <c r="I6" s="14" t="s">
        <v>41</v>
      </c>
      <c r="J6" s="14"/>
      <c r="K6" s="15"/>
      <c r="L6" s="15" t="str">
        <f t="shared" si="0"/>
        <v/>
      </c>
      <c r="M6" s="14"/>
      <c r="N6" s="14"/>
      <c r="O6" s="15" t="str">
        <f>IF(AND($K6&lt;&gt;"",$M6&lt;&gt;""),$K6+VLOOKUP($M6,'Redo Rules'!$A$2:$D$5,4,FALSE),"")</f>
        <v/>
      </c>
      <c r="P6" s="15"/>
      <c r="Q6" s="14"/>
      <c r="R6" s="14"/>
      <c r="S6" s="18"/>
    </row>
    <row r="7" ht="42.75" spans="1:19">
      <c r="A7" s="14">
        <v>6</v>
      </c>
      <c r="B7" s="15">
        <v>46277</v>
      </c>
      <c r="C7" s="14" t="s">
        <v>6</v>
      </c>
      <c r="D7" s="14" t="s">
        <v>20</v>
      </c>
      <c r="E7" s="14" t="s">
        <v>21</v>
      </c>
      <c r="F7" s="14" t="s">
        <v>42</v>
      </c>
      <c r="G7" s="14" t="s">
        <v>43</v>
      </c>
      <c r="H7" s="14" t="s">
        <v>44</v>
      </c>
      <c r="I7" s="14" t="s">
        <v>45</v>
      </c>
      <c r="J7" s="14"/>
      <c r="K7" s="15"/>
      <c r="L7" s="15" t="str">
        <f t="shared" si="0"/>
        <v/>
      </c>
      <c r="M7" s="14"/>
      <c r="N7" s="14"/>
      <c r="O7" s="15" t="str">
        <f>IF(AND($K7&lt;&gt;"",$M7&lt;&gt;""),$K7+VLOOKUP($M7,'Redo Rules'!$A$2:$D$5,4,FALSE),"")</f>
        <v/>
      </c>
      <c r="P7" s="15"/>
      <c r="Q7" s="14"/>
      <c r="R7" s="14"/>
      <c r="S7" s="18"/>
    </row>
    <row r="8" ht="85.5" spans="1:19">
      <c r="A8" s="14">
        <v>7</v>
      </c>
      <c r="B8" s="15">
        <v>46278</v>
      </c>
      <c r="C8" s="14" t="s">
        <v>46</v>
      </c>
      <c r="D8" s="14" t="s">
        <v>20</v>
      </c>
      <c r="E8" s="14" t="s">
        <v>21</v>
      </c>
      <c r="F8" s="14" t="s">
        <v>47</v>
      </c>
      <c r="G8" s="14"/>
      <c r="H8" s="14" t="s">
        <v>48</v>
      </c>
      <c r="I8" s="14" t="s">
        <v>49</v>
      </c>
      <c r="J8" s="14" t="s">
        <v>50</v>
      </c>
      <c r="K8" s="15"/>
      <c r="L8" s="15" t="str">
        <f t="shared" si="0"/>
        <v/>
      </c>
      <c r="M8" s="14"/>
      <c r="N8" s="14"/>
      <c r="O8" s="15"/>
      <c r="P8" s="15"/>
      <c r="Q8" s="14"/>
      <c r="R8" s="14"/>
      <c r="S8" s="18"/>
    </row>
    <row r="9" ht="71.25" spans="1:19">
      <c r="A9" s="14">
        <v>8</v>
      </c>
      <c r="B9" s="15">
        <v>46279</v>
      </c>
      <c r="C9" s="14" t="s">
        <v>19</v>
      </c>
      <c r="D9" s="14" t="s">
        <v>51</v>
      </c>
      <c r="E9" s="14" t="s">
        <v>52</v>
      </c>
      <c r="F9" s="14" t="s">
        <v>53</v>
      </c>
      <c r="G9" s="14"/>
      <c r="H9" s="14" t="s">
        <v>54</v>
      </c>
      <c r="I9" s="14" t="s">
        <v>55</v>
      </c>
      <c r="J9" s="14"/>
      <c r="K9" s="15"/>
      <c r="L9" s="15" t="str">
        <f t="shared" si="0"/>
        <v/>
      </c>
      <c r="M9" s="14"/>
      <c r="N9" s="14"/>
      <c r="O9" s="15"/>
      <c r="P9" s="15"/>
      <c r="Q9" s="14"/>
      <c r="R9" s="14"/>
      <c r="S9" s="18"/>
    </row>
    <row r="10" ht="57" spans="1:19">
      <c r="A10" s="14">
        <v>9</v>
      </c>
      <c r="B10" s="15">
        <v>46280</v>
      </c>
      <c r="C10" s="14" t="s">
        <v>19</v>
      </c>
      <c r="D10" s="14" t="s">
        <v>51</v>
      </c>
      <c r="E10" s="14" t="s">
        <v>56</v>
      </c>
      <c r="F10" s="14" t="s">
        <v>57</v>
      </c>
      <c r="G10" s="14"/>
      <c r="H10" s="14" t="s">
        <v>58</v>
      </c>
      <c r="I10" s="14" t="s">
        <v>59</v>
      </c>
      <c r="J10" s="14"/>
      <c r="K10" s="15"/>
      <c r="L10" s="15" t="str">
        <f t="shared" si="0"/>
        <v/>
      </c>
      <c r="M10" s="14"/>
      <c r="N10" s="14"/>
      <c r="O10" s="15"/>
      <c r="P10" s="15"/>
      <c r="Q10" s="14"/>
      <c r="R10" s="14"/>
      <c r="S10" s="18"/>
    </row>
    <row r="11" ht="42.75" spans="1:19">
      <c r="A11" s="14">
        <v>10</v>
      </c>
      <c r="B11" s="15">
        <v>46281</v>
      </c>
      <c r="C11" s="14" t="s">
        <v>6</v>
      </c>
      <c r="D11" s="14" t="s">
        <v>51</v>
      </c>
      <c r="E11" s="14" t="s">
        <v>52</v>
      </c>
      <c r="F11" s="14" t="s">
        <v>60</v>
      </c>
      <c r="G11" s="14" t="s">
        <v>61</v>
      </c>
      <c r="H11" s="14" t="s">
        <v>62</v>
      </c>
      <c r="I11" s="14" t="s">
        <v>59</v>
      </c>
      <c r="J11" s="14"/>
      <c r="K11" s="15"/>
      <c r="L11" s="15" t="str">
        <f t="shared" si="0"/>
        <v/>
      </c>
      <c r="M11" s="14"/>
      <c r="N11" s="14"/>
      <c r="O11" s="15" t="str">
        <f>IF(AND($K11&lt;&gt;"",$M11&lt;&gt;""),$K11+VLOOKUP($M11,'Redo Rules'!$A$2:$D$5,4,FALSE),"")</f>
        <v/>
      </c>
      <c r="P11" s="15"/>
      <c r="Q11" s="14"/>
      <c r="R11" s="14"/>
      <c r="S11" s="18"/>
    </row>
    <row r="12" ht="42.75" spans="1:19">
      <c r="A12" s="14">
        <v>11</v>
      </c>
      <c r="B12" s="15">
        <v>46282</v>
      </c>
      <c r="C12" s="14" t="s">
        <v>6</v>
      </c>
      <c r="D12" s="14" t="s">
        <v>51</v>
      </c>
      <c r="E12" s="14" t="s">
        <v>56</v>
      </c>
      <c r="F12" s="14" t="s">
        <v>63</v>
      </c>
      <c r="G12" s="14" t="s">
        <v>64</v>
      </c>
      <c r="H12" s="14" t="s">
        <v>65</v>
      </c>
      <c r="I12" s="14" t="s">
        <v>66</v>
      </c>
      <c r="J12" s="14"/>
      <c r="K12" s="15"/>
      <c r="L12" s="15" t="str">
        <f t="shared" si="0"/>
        <v/>
      </c>
      <c r="M12" s="14"/>
      <c r="N12" s="14"/>
      <c r="O12" s="15" t="str">
        <f>IF(AND($K12&lt;&gt;"",$M12&lt;&gt;""),$K12+VLOOKUP($M12,'Redo Rules'!$A$2:$D$5,4,FALSE),"")</f>
        <v/>
      </c>
      <c r="P12" s="15"/>
      <c r="Q12" s="14"/>
      <c r="R12" s="14"/>
      <c r="S12" s="18"/>
    </row>
    <row r="13" ht="28.5" spans="1:19">
      <c r="A13" s="14">
        <v>12</v>
      </c>
      <c r="B13" s="15">
        <v>46283</v>
      </c>
      <c r="C13" s="14" t="s">
        <v>6</v>
      </c>
      <c r="D13" s="14" t="s">
        <v>51</v>
      </c>
      <c r="E13" s="14" t="s">
        <v>56</v>
      </c>
      <c r="F13" s="14" t="s">
        <v>67</v>
      </c>
      <c r="G13" s="14" t="s">
        <v>68</v>
      </c>
      <c r="H13" s="14" t="s">
        <v>69</v>
      </c>
      <c r="I13" s="14" t="s">
        <v>70</v>
      </c>
      <c r="J13" s="14"/>
      <c r="K13" s="15"/>
      <c r="L13" s="15" t="str">
        <f t="shared" si="0"/>
        <v/>
      </c>
      <c r="M13" s="14"/>
      <c r="N13" s="14"/>
      <c r="O13" s="15" t="str">
        <f>IF(AND($K13&lt;&gt;"",$M13&lt;&gt;""),$K13+VLOOKUP($M13,'Redo Rules'!$A$2:$D$5,4,FALSE),"")</f>
        <v/>
      </c>
      <c r="P13" s="15"/>
      <c r="Q13" s="14"/>
      <c r="R13" s="14"/>
      <c r="S13" s="18"/>
    </row>
    <row r="14" ht="85.5" spans="1:19">
      <c r="A14" s="14">
        <v>13</v>
      </c>
      <c r="B14" s="15">
        <v>46284</v>
      </c>
      <c r="C14" s="14" t="s">
        <v>46</v>
      </c>
      <c r="D14" s="14" t="s">
        <v>51</v>
      </c>
      <c r="E14" s="14" t="s">
        <v>71</v>
      </c>
      <c r="F14" s="14" t="s">
        <v>72</v>
      </c>
      <c r="G14" s="14"/>
      <c r="H14" s="14" t="s">
        <v>73</v>
      </c>
      <c r="I14" s="14" t="s">
        <v>74</v>
      </c>
      <c r="J14" s="14" t="s">
        <v>75</v>
      </c>
      <c r="K14" s="15"/>
      <c r="L14" s="15" t="str">
        <f t="shared" si="0"/>
        <v/>
      </c>
      <c r="M14" s="14"/>
      <c r="N14" s="14"/>
      <c r="O14" s="15"/>
      <c r="P14" s="15"/>
      <c r="Q14" s="14"/>
      <c r="R14" s="14"/>
      <c r="S14" s="18"/>
    </row>
    <row r="15" ht="71.25" spans="1:19">
      <c r="A15" s="14">
        <v>14</v>
      </c>
      <c r="B15" s="15">
        <v>46285</v>
      </c>
      <c r="C15" s="14" t="s">
        <v>19</v>
      </c>
      <c r="D15" s="14" t="s">
        <v>76</v>
      </c>
      <c r="E15" s="14" t="s">
        <v>77</v>
      </c>
      <c r="F15" s="14" t="s">
        <v>78</v>
      </c>
      <c r="G15" s="14"/>
      <c r="H15" s="14" t="s">
        <v>79</v>
      </c>
      <c r="I15" s="14" t="s">
        <v>80</v>
      </c>
      <c r="J15" s="14"/>
      <c r="K15" s="15"/>
      <c r="L15" s="15" t="str">
        <f t="shared" si="0"/>
        <v/>
      </c>
      <c r="M15" s="14"/>
      <c r="N15" s="14"/>
      <c r="O15" s="15"/>
      <c r="P15" s="15"/>
      <c r="Q15" s="14"/>
      <c r="R15" s="14"/>
      <c r="S15" s="18"/>
    </row>
    <row r="16" ht="71.25" spans="1:19">
      <c r="A16" s="14">
        <v>15</v>
      </c>
      <c r="B16" s="15">
        <v>46286</v>
      </c>
      <c r="C16" s="14" t="s">
        <v>19</v>
      </c>
      <c r="D16" s="14" t="s">
        <v>76</v>
      </c>
      <c r="E16" s="14" t="s">
        <v>81</v>
      </c>
      <c r="F16" s="14" t="s">
        <v>82</v>
      </c>
      <c r="G16" s="14"/>
      <c r="H16" s="14" t="s">
        <v>83</v>
      </c>
      <c r="I16" s="14" t="s">
        <v>84</v>
      </c>
      <c r="J16" s="14"/>
      <c r="K16" s="15"/>
      <c r="L16" s="15" t="str">
        <f t="shared" si="0"/>
        <v/>
      </c>
      <c r="M16" s="14"/>
      <c r="N16" s="14"/>
      <c r="O16" s="15"/>
      <c r="P16" s="15"/>
      <c r="Q16" s="14"/>
      <c r="R16" s="14"/>
      <c r="S16" s="18"/>
    </row>
    <row r="17" ht="28.5" spans="1:19">
      <c r="A17" s="14">
        <v>16</v>
      </c>
      <c r="B17" s="15">
        <v>46287</v>
      </c>
      <c r="C17" s="14" t="s">
        <v>6</v>
      </c>
      <c r="D17" s="14" t="s">
        <v>76</v>
      </c>
      <c r="E17" s="14" t="s">
        <v>85</v>
      </c>
      <c r="F17" s="14" t="s">
        <v>86</v>
      </c>
      <c r="G17" s="14" t="s">
        <v>87</v>
      </c>
      <c r="H17" s="14" t="s">
        <v>88</v>
      </c>
      <c r="I17" s="14" t="s">
        <v>89</v>
      </c>
      <c r="J17" s="14"/>
      <c r="K17" s="15"/>
      <c r="L17" s="15" t="str">
        <f t="shared" si="0"/>
        <v/>
      </c>
      <c r="M17" s="14"/>
      <c r="N17" s="14"/>
      <c r="O17" s="15" t="str">
        <f>IF(AND($K17&lt;&gt;"",$M17&lt;&gt;""),$K17+VLOOKUP($M17,'Redo Rules'!$A$2:$D$5,4,FALSE),"")</f>
        <v/>
      </c>
      <c r="P17" s="15"/>
      <c r="Q17" s="14"/>
      <c r="R17" s="14"/>
      <c r="S17" s="18"/>
    </row>
    <row r="18" ht="42.75" spans="1:19">
      <c r="A18" s="14">
        <v>17</v>
      </c>
      <c r="B18" s="15">
        <v>46288</v>
      </c>
      <c r="C18" s="14" t="s">
        <v>6</v>
      </c>
      <c r="D18" s="14" t="s">
        <v>76</v>
      </c>
      <c r="E18" s="14" t="s">
        <v>85</v>
      </c>
      <c r="F18" s="14" t="s">
        <v>90</v>
      </c>
      <c r="G18" s="14" t="s">
        <v>91</v>
      </c>
      <c r="H18" s="14" t="s">
        <v>92</v>
      </c>
      <c r="I18" s="14" t="s">
        <v>93</v>
      </c>
      <c r="J18" s="14"/>
      <c r="K18" s="15"/>
      <c r="L18" s="15" t="str">
        <f t="shared" si="0"/>
        <v/>
      </c>
      <c r="M18" s="14"/>
      <c r="N18" s="14"/>
      <c r="O18" s="15" t="str">
        <f>IF(AND($K18&lt;&gt;"",$M18&lt;&gt;""),$K18+VLOOKUP($M18,'Redo Rules'!$A$2:$D$5,4,FALSE),"")</f>
        <v/>
      </c>
      <c r="P18" s="15"/>
      <c r="Q18" s="14"/>
      <c r="R18" s="14"/>
      <c r="S18" s="18"/>
    </row>
    <row r="19" ht="28.5" spans="1:19">
      <c r="A19" s="14">
        <v>18</v>
      </c>
      <c r="B19" s="15">
        <v>46289</v>
      </c>
      <c r="C19" s="14" t="s">
        <v>6</v>
      </c>
      <c r="D19" s="14" t="s">
        <v>76</v>
      </c>
      <c r="E19" s="14" t="s">
        <v>77</v>
      </c>
      <c r="F19" s="14" t="s">
        <v>94</v>
      </c>
      <c r="G19" s="14" t="s">
        <v>95</v>
      </c>
      <c r="H19" s="14" t="s">
        <v>96</v>
      </c>
      <c r="I19" s="14" t="s">
        <v>97</v>
      </c>
      <c r="J19" s="14"/>
      <c r="K19" s="15"/>
      <c r="L19" s="15" t="str">
        <f t="shared" si="0"/>
        <v/>
      </c>
      <c r="M19" s="14"/>
      <c r="N19" s="14"/>
      <c r="O19" s="15" t="str">
        <f>IF(AND($K19&lt;&gt;"",$M19&lt;&gt;""),$K19+VLOOKUP($M19,'Redo Rules'!$A$2:$D$5,4,FALSE),"")</f>
        <v/>
      </c>
      <c r="P19" s="15"/>
      <c r="Q19" s="14"/>
      <c r="R19" s="14"/>
      <c r="S19" s="18"/>
    </row>
    <row r="20" ht="71.25" spans="1:19">
      <c r="A20" s="14">
        <v>19</v>
      </c>
      <c r="B20" s="15">
        <v>46290</v>
      </c>
      <c r="C20" s="14" t="s">
        <v>6</v>
      </c>
      <c r="D20" s="14" t="s">
        <v>76</v>
      </c>
      <c r="E20" s="14" t="s">
        <v>98</v>
      </c>
      <c r="F20" s="14" t="s">
        <v>99</v>
      </c>
      <c r="G20" s="14" t="s">
        <v>100</v>
      </c>
      <c r="H20" s="14" t="s">
        <v>101</v>
      </c>
      <c r="I20" s="14" t="s">
        <v>102</v>
      </c>
      <c r="J20" s="14"/>
      <c r="K20" s="15"/>
      <c r="L20" s="15" t="str">
        <f t="shared" si="0"/>
        <v/>
      </c>
      <c r="M20" s="14"/>
      <c r="N20" s="14"/>
      <c r="O20" s="15" t="str">
        <f>IF(AND($K20&lt;&gt;"",$M20&lt;&gt;""),$K20+VLOOKUP($M20,'Redo Rules'!$A$2:$D$5,4,FALSE),"")</f>
        <v/>
      </c>
      <c r="P20" s="15"/>
      <c r="Q20" s="14"/>
      <c r="R20" s="14"/>
      <c r="S20" s="18"/>
    </row>
    <row r="21" ht="99.75" spans="1:19">
      <c r="A21" s="14">
        <v>20</v>
      </c>
      <c r="B21" s="15">
        <v>46291</v>
      </c>
      <c r="C21" s="14" t="s">
        <v>46</v>
      </c>
      <c r="D21" s="14" t="s">
        <v>76</v>
      </c>
      <c r="E21" s="14" t="s">
        <v>81</v>
      </c>
      <c r="F21" s="14" t="s">
        <v>103</v>
      </c>
      <c r="G21" s="14"/>
      <c r="H21" s="14" t="s">
        <v>104</v>
      </c>
      <c r="I21" s="14" t="s">
        <v>105</v>
      </c>
      <c r="J21" s="14" t="s">
        <v>106</v>
      </c>
      <c r="K21" s="15"/>
      <c r="L21" s="15"/>
      <c r="M21" s="14"/>
      <c r="N21" s="14"/>
      <c r="O21" s="15"/>
      <c r="P21" s="15"/>
      <c r="Q21" s="14"/>
      <c r="R21" s="14"/>
      <c r="S21" s="18"/>
    </row>
    <row r="22" ht="57" spans="1:19">
      <c r="A22" s="14">
        <v>21</v>
      </c>
      <c r="B22" s="15">
        <v>46292</v>
      </c>
      <c r="C22" s="14" t="s">
        <v>19</v>
      </c>
      <c r="D22" s="14" t="s">
        <v>107</v>
      </c>
      <c r="E22" s="14" t="s">
        <v>108</v>
      </c>
      <c r="F22" s="14" t="s">
        <v>109</v>
      </c>
      <c r="G22" s="14"/>
      <c r="H22" s="14" t="s">
        <v>110</v>
      </c>
      <c r="I22" s="14" t="s">
        <v>111</v>
      </c>
      <c r="J22" s="14"/>
      <c r="K22" s="15"/>
      <c r="L22" s="15"/>
      <c r="M22" s="14"/>
      <c r="N22" s="14"/>
      <c r="O22" s="15"/>
      <c r="P22" s="15"/>
      <c r="Q22" s="14"/>
      <c r="R22" s="14"/>
      <c r="S22" s="18"/>
    </row>
    <row r="23" ht="71.25" spans="1:19">
      <c r="A23" s="14">
        <v>22</v>
      </c>
      <c r="B23" s="15">
        <v>46293</v>
      </c>
      <c r="C23" s="14" t="s">
        <v>19</v>
      </c>
      <c r="D23" s="14" t="s">
        <v>107</v>
      </c>
      <c r="E23" s="14" t="s">
        <v>112</v>
      </c>
      <c r="F23" s="14" t="s">
        <v>113</v>
      </c>
      <c r="G23" s="14"/>
      <c r="H23" s="14" t="s">
        <v>114</v>
      </c>
      <c r="I23" s="14" t="s">
        <v>115</v>
      </c>
      <c r="J23" s="14"/>
      <c r="K23" s="15"/>
      <c r="L23" s="15"/>
      <c r="M23" s="14"/>
      <c r="N23" s="14"/>
      <c r="O23" s="15"/>
      <c r="P23" s="15"/>
      <c r="Q23" s="14"/>
      <c r="R23" s="14"/>
      <c r="S23" s="18"/>
    </row>
    <row r="24" ht="57" spans="1:19">
      <c r="A24" s="14">
        <v>23</v>
      </c>
      <c r="B24" s="15">
        <v>46294</v>
      </c>
      <c r="C24" s="14" t="s">
        <v>6</v>
      </c>
      <c r="D24" s="14" t="s">
        <v>107</v>
      </c>
      <c r="E24" s="14" t="s">
        <v>108</v>
      </c>
      <c r="F24" s="14" t="s">
        <v>116</v>
      </c>
      <c r="G24" s="14" t="s">
        <v>117</v>
      </c>
      <c r="H24" s="14" t="s">
        <v>118</v>
      </c>
      <c r="I24" s="14" t="s">
        <v>115</v>
      </c>
      <c r="J24" s="14"/>
      <c r="K24" s="15"/>
      <c r="L24" s="15" t="str">
        <f>IF($P24&lt;&gt;"",$P24,"")</f>
        <v/>
      </c>
      <c r="M24" s="14"/>
      <c r="N24" s="14"/>
      <c r="O24" s="15" t="str">
        <f>IF(AND($K24&lt;&gt;"",$M24&lt;&gt;""),$K24+VLOOKUP($M24,'Redo Rules'!$A$2:$D$5,4,FALSE),"")</f>
        <v/>
      </c>
      <c r="P24" s="15"/>
      <c r="Q24" s="14"/>
      <c r="R24" s="14"/>
      <c r="S24" s="18"/>
    </row>
    <row r="25" ht="42.75" spans="1:19">
      <c r="A25" s="14">
        <v>24</v>
      </c>
      <c r="B25" s="15">
        <v>46295</v>
      </c>
      <c r="C25" s="14" t="s">
        <v>6</v>
      </c>
      <c r="D25" s="14" t="s">
        <v>107</v>
      </c>
      <c r="E25" s="14" t="s">
        <v>108</v>
      </c>
      <c r="F25" s="14" t="s">
        <v>119</v>
      </c>
      <c r="G25" s="14" t="s">
        <v>120</v>
      </c>
      <c r="H25" s="14" t="s">
        <v>121</v>
      </c>
      <c r="I25" s="14" t="s">
        <v>122</v>
      </c>
      <c r="J25" s="14"/>
      <c r="K25" s="15"/>
      <c r="L25" s="15" t="str">
        <f t="shared" si="0"/>
        <v/>
      </c>
      <c r="M25" s="14"/>
      <c r="N25" s="14"/>
      <c r="O25" s="15" t="str">
        <f>IF(AND($K25&lt;&gt;"",$M25&lt;&gt;""),$K25+VLOOKUP($M25,'Redo Rules'!$A$2:$D$5,4,FALSE),"")</f>
        <v/>
      </c>
      <c r="P25" s="15"/>
      <c r="Q25" s="14"/>
      <c r="R25" s="14"/>
      <c r="S25" s="18"/>
    </row>
    <row r="26" ht="57" spans="1:19">
      <c r="A26" s="14">
        <v>25</v>
      </c>
      <c r="B26" s="15">
        <v>46296</v>
      </c>
      <c r="C26" s="14" t="s">
        <v>6</v>
      </c>
      <c r="D26" s="14" t="s">
        <v>107</v>
      </c>
      <c r="E26" s="14" t="s">
        <v>123</v>
      </c>
      <c r="F26" s="14" t="s">
        <v>124</v>
      </c>
      <c r="G26" s="14" t="s">
        <v>125</v>
      </c>
      <c r="H26" s="14" t="s">
        <v>126</v>
      </c>
      <c r="I26" s="14" t="s">
        <v>127</v>
      </c>
      <c r="J26" s="14"/>
      <c r="K26" s="15"/>
      <c r="L26" s="15" t="str">
        <f t="shared" si="0"/>
        <v/>
      </c>
      <c r="M26" s="14"/>
      <c r="N26" s="14"/>
      <c r="O26" s="15" t="str">
        <f>IF(AND($K26&lt;&gt;"",$M26&lt;&gt;""),$K26+VLOOKUP($M26,'Redo Rules'!$A$2:$D$5,4,FALSE),"")</f>
        <v/>
      </c>
      <c r="P26" s="15"/>
      <c r="Q26" s="14"/>
      <c r="R26" s="14"/>
      <c r="S26" s="18"/>
    </row>
    <row r="27" ht="42.75" spans="1:19">
      <c r="A27" s="14">
        <v>26</v>
      </c>
      <c r="B27" s="15">
        <v>46297</v>
      </c>
      <c r="C27" s="14" t="s">
        <v>6</v>
      </c>
      <c r="D27" s="14" t="s">
        <v>107</v>
      </c>
      <c r="E27" s="14" t="s">
        <v>128</v>
      </c>
      <c r="F27" s="14" t="s">
        <v>129</v>
      </c>
      <c r="G27" s="14" t="s">
        <v>130</v>
      </c>
      <c r="H27" s="14" t="s">
        <v>131</v>
      </c>
      <c r="I27" s="14" t="s">
        <v>132</v>
      </c>
      <c r="J27" s="14"/>
      <c r="K27" s="15"/>
      <c r="L27" s="15" t="str">
        <f t="shared" si="0"/>
        <v/>
      </c>
      <c r="M27" s="14"/>
      <c r="N27" s="14"/>
      <c r="O27" s="15" t="str">
        <f>IF(AND($K27&lt;&gt;"",$M27&lt;&gt;""),$K27+VLOOKUP($M27,'Redo Rules'!$A$2:$D$5,4,FALSE),"")</f>
        <v/>
      </c>
      <c r="P27" s="15"/>
      <c r="Q27" s="14"/>
      <c r="R27" s="14"/>
      <c r="S27" s="18"/>
    </row>
    <row r="28" ht="57" spans="1:19">
      <c r="A28" s="14">
        <v>27</v>
      </c>
      <c r="B28" s="15">
        <v>46298</v>
      </c>
      <c r="C28" s="14" t="s">
        <v>6</v>
      </c>
      <c r="D28" s="14" t="s">
        <v>107</v>
      </c>
      <c r="E28" s="14" t="s">
        <v>133</v>
      </c>
      <c r="F28" s="14" t="s">
        <v>134</v>
      </c>
      <c r="G28" s="14" t="s">
        <v>135</v>
      </c>
      <c r="H28" s="14" t="s">
        <v>136</v>
      </c>
      <c r="I28" s="14" t="s">
        <v>137</v>
      </c>
      <c r="J28" s="14"/>
      <c r="K28" s="15"/>
      <c r="L28" s="15" t="str">
        <f t="shared" si="0"/>
        <v/>
      </c>
      <c r="M28" s="14"/>
      <c r="N28" s="14"/>
      <c r="O28" s="15" t="str">
        <f>IF(AND($K28&lt;&gt;"",$M28&lt;&gt;""),$K28+VLOOKUP($M28,'Redo Rules'!$A$2:$D$5,4,FALSE),"")</f>
        <v/>
      </c>
      <c r="P28" s="15"/>
      <c r="Q28" s="14"/>
      <c r="R28" s="14"/>
      <c r="S28" s="18"/>
    </row>
    <row r="29" ht="85.5" spans="1:19">
      <c r="A29" s="14">
        <v>28</v>
      </c>
      <c r="B29" s="15">
        <v>46299</v>
      </c>
      <c r="C29" s="14" t="s">
        <v>46</v>
      </c>
      <c r="D29" s="14" t="s">
        <v>107</v>
      </c>
      <c r="E29" s="14" t="s">
        <v>138</v>
      </c>
      <c r="F29" s="14" t="s">
        <v>139</v>
      </c>
      <c r="G29" s="14"/>
      <c r="H29" s="14" t="s">
        <v>140</v>
      </c>
      <c r="I29" s="14" t="s">
        <v>141</v>
      </c>
      <c r="J29" s="14" t="s">
        <v>142</v>
      </c>
      <c r="K29" s="15"/>
      <c r="L29" s="15"/>
      <c r="M29" s="14"/>
      <c r="N29" s="14"/>
      <c r="O29" s="15"/>
      <c r="P29" s="15"/>
      <c r="Q29" s="14"/>
      <c r="R29" s="14"/>
      <c r="S29" s="18"/>
    </row>
    <row r="30" ht="71.25" spans="1:19">
      <c r="A30" s="14">
        <v>29</v>
      </c>
      <c r="B30" s="15">
        <v>46300</v>
      </c>
      <c r="C30" s="14" t="s">
        <v>19</v>
      </c>
      <c r="D30" s="14" t="s">
        <v>143</v>
      </c>
      <c r="E30" s="14" t="s">
        <v>144</v>
      </c>
      <c r="F30" s="14" t="s">
        <v>145</v>
      </c>
      <c r="G30" s="14"/>
      <c r="H30" s="14" t="s">
        <v>146</v>
      </c>
      <c r="I30" s="14" t="s">
        <v>147</v>
      </c>
      <c r="J30" s="14"/>
      <c r="K30" s="15"/>
      <c r="L30" s="15"/>
      <c r="M30" s="14"/>
      <c r="N30" s="14"/>
      <c r="O30" s="15"/>
      <c r="P30" s="15"/>
      <c r="Q30" s="14"/>
      <c r="R30" s="14"/>
      <c r="S30" s="18"/>
    </row>
    <row r="31" ht="57" spans="1:19">
      <c r="A31" s="14">
        <v>30</v>
      </c>
      <c r="B31" s="15">
        <v>46301</v>
      </c>
      <c r="C31" s="14" t="s">
        <v>19</v>
      </c>
      <c r="D31" s="14" t="s">
        <v>143</v>
      </c>
      <c r="E31" s="14" t="s">
        <v>148</v>
      </c>
      <c r="F31" s="14" t="s">
        <v>149</v>
      </c>
      <c r="G31" s="14"/>
      <c r="H31" s="14" t="s">
        <v>150</v>
      </c>
      <c r="I31" s="14" t="s">
        <v>151</v>
      </c>
      <c r="J31" s="14"/>
      <c r="K31" s="15"/>
      <c r="L31" s="15" t="str">
        <f t="shared" si="0"/>
        <v/>
      </c>
      <c r="M31" s="14"/>
      <c r="N31" s="14"/>
      <c r="O31" s="15"/>
      <c r="P31" s="15"/>
      <c r="Q31" s="14"/>
      <c r="R31" s="14"/>
      <c r="S31" s="18"/>
    </row>
    <row r="32" ht="28.5" spans="1:19">
      <c r="A32" s="14">
        <v>31</v>
      </c>
      <c r="B32" s="15">
        <v>46302</v>
      </c>
      <c r="C32" s="14" t="s">
        <v>6</v>
      </c>
      <c r="D32" s="14" t="s">
        <v>143</v>
      </c>
      <c r="E32" s="14" t="s">
        <v>152</v>
      </c>
      <c r="F32" s="14" t="s">
        <v>153</v>
      </c>
      <c r="G32" s="14" t="s">
        <v>154</v>
      </c>
      <c r="H32" s="14" t="s">
        <v>155</v>
      </c>
      <c r="I32" s="14" t="s">
        <v>151</v>
      </c>
      <c r="J32" s="14"/>
      <c r="K32" s="15"/>
      <c r="L32" s="15" t="str">
        <f t="shared" si="0"/>
        <v/>
      </c>
      <c r="M32" s="14"/>
      <c r="N32" s="14"/>
      <c r="O32" s="15" t="str">
        <f>IF(AND($K32&lt;&gt;"",$M32&lt;&gt;""),$K32+VLOOKUP($M32,'Redo Rules'!$A$2:$D$5,4,FALSE),"")</f>
        <v/>
      </c>
      <c r="P32" s="15"/>
      <c r="Q32" s="14"/>
      <c r="R32" s="14"/>
      <c r="S32" s="18"/>
    </row>
    <row r="33" ht="42.75" spans="1:19">
      <c r="A33" s="14">
        <v>32</v>
      </c>
      <c r="B33" s="15">
        <v>46303</v>
      </c>
      <c r="C33" s="14" t="s">
        <v>6</v>
      </c>
      <c r="D33" s="14" t="s">
        <v>143</v>
      </c>
      <c r="E33" s="14" t="s">
        <v>152</v>
      </c>
      <c r="F33" s="14" t="s">
        <v>156</v>
      </c>
      <c r="G33" s="14" t="s">
        <v>157</v>
      </c>
      <c r="H33" s="14" t="s">
        <v>158</v>
      </c>
      <c r="I33" s="14" t="s">
        <v>159</v>
      </c>
      <c r="J33" s="14"/>
      <c r="K33" s="15"/>
      <c r="L33" s="15" t="str">
        <f t="shared" si="0"/>
        <v/>
      </c>
      <c r="M33" s="14"/>
      <c r="N33" s="14"/>
      <c r="O33" s="15" t="str">
        <f>IF(AND($K33&lt;&gt;"",$M33&lt;&gt;""),$K33+VLOOKUP($M33,'Redo Rules'!$A$2:$D$5,4,FALSE),"")</f>
        <v/>
      </c>
      <c r="P33" s="15"/>
      <c r="Q33" s="14"/>
      <c r="R33" s="14"/>
      <c r="S33" s="18"/>
    </row>
    <row r="34" ht="42.75" spans="1:19">
      <c r="A34" s="14">
        <v>33</v>
      </c>
      <c r="B34" s="15">
        <v>46304</v>
      </c>
      <c r="C34" s="14" t="s">
        <v>6</v>
      </c>
      <c r="D34" s="14" t="s">
        <v>143</v>
      </c>
      <c r="E34" s="14" t="s">
        <v>160</v>
      </c>
      <c r="F34" s="14" t="s">
        <v>161</v>
      </c>
      <c r="G34" s="14" t="s">
        <v>162</v>
      </c>
      <c r="H34" s="14" t="s">
        <v>163</v>
      </c>
      <c r="I34" s="14" t="s">
        <v>164</v>
      </c>
      <c r="J34" s="14"/>
      <c r="K34" s="15"/>
      <c r="L34" s="15" t="str">
        <f t="shared" ref="L34:L64" si="1">IF($P34&lt;&gt;"",$P34,"")</f>
        <v/>
      </c>
      <c r="M34" s="14"/>
      <c r="N34" s="14"/>
      <c r="O34" s="15" t="str">
        <f>IF(AND($K34&lt;&gt;"",$M34&lt;&gt;""),$K34+VLOOKUP($M34,'Redo Rules'!$A$2:$D$5,4,FALSE),"")</f>
        <v/>
      </c>
      <c r="P34" s="15"/>
      <c r="Q34" s="14"/>
      <c r="R34" s="14"/>
      <c r="S34" s="18"/>
    </row>
    <row r="35" ht="42.75" spans="1:19">
      <c r="A35" s="14">
        <v>34</v>
      </c>
      <c r="B35" s="15">
        <v>46305</v>
      </c>
      <c r="C35" s="14" t="s">
        <v>6</v>
      </c>
      <c r="D35" s="14" t="s">
        <v>143</v>
      </c>
      <c r="E35" s="14" t="s">
        <v>165</v>
      </c>
      <c r="F35" s="14" t="s">
        <v>166</v>
      </c>
      <c r="G35" s="14" t="s">
        <v>167</v>
      </c>
      <c r="H35" s="14" t="s">
        <v>168</v>
      </c>
      <c r="I35" s="14" t="s">
        <v>169</v>
      </c>
      <c r="J35" s="14"/>
      <c r="K35" s="15"/>
      <c r="L35" s="15" t="str">
        <f t="shared" si="1"/>
        <v/>
      </c>
      <c r="M35" s="14"/>
      <c r="N35" s="14"/>
      <c r="O35" s="15" t="str">
        <f>IF(AND($K35&lt;&gt;"",$M35&lt;&gt;""),$K35+VLOOKUP($M35,'Redo Rules'!$A$2:$D$5,4,FALSE),"")</f>
        <v/>
      </c>
      <c r="P35" s="15"/>
      <c r="Q35" s="14"/>
      <c r="R35" s="14"/>
      <c r="S35" s="18"/>
    </row>
    <row r="36" ht="85.5" spans="1:19">
      <c r="A36" s="14">
        <v>35</v>
      </c>
      <c r="B36" s="15">
        <v>46306</v>
      </c>
      <c r="C36" s="14" t="s">
        <v>46</v>
      </c>
      <c r="D36" s="14" t="s">
        <v>143</v>
      </c>
      <c r="E36" s="14" t="s">
        <v>170</v>
      </c>
      <c r="F36" s="14" t="s">
        <v>171</v>
      </c>
      <c r="G36" s="14"/>
      <c r="H36" s="14" t="s">
        <v>172</v>
      </c>
      <c r="I36" s="14" t="s">
        <v>173</v>
      </c>
      <c r="J36" s="14" t="s">
        <v>174</v>
      </c>
      <c r="K36" s="15"/>
      <c r="L36" s="15" t="str">
        <f t="shared" si="1"/>
        <v/>
      </c>
      <c r="M36" s="14"/>
      <c r="N36" s="14"/>
      <c r="O36" s="15"/>
      <c r="P36" s="15"/>
      <c r="Q36" s="14"/>
      <c r="R36" s="14"/>
      <c r="S36" s="18"/>
    </row>
    <row r="37" ht="71.25" spans="1:19">
      <c r="A37" s="14">
        <v>36</v>
      </c>
      <c r="B37" s="15">
        <v>46307</v>
      </c>
      <c r="C37" s="14" t="s">
        <v>19</v>
      </c>
      <c r="D37" s="14" t="s">
        <v>175</v>
      </c>
      <c r="E37" s="14" t="s">
        <v>176</v>
      </c>
      <c r="F37" s="14" t="s">
        <v>177</v>
      </c>
      <c r="G37" s="14"/>
      <c r="H37" s="14" t="s">
        <v>178</v>
      </c>
      <c r="I37" s="14" t="s">
        <v>179</v>
      </c>
      <c r="J37" s="14"/>
      <c r="K37" s="15"/>
      <c r="L37" s="15" t="str">
        <f t="shared" si="1"/>
        <v/>
      </c>
      <c r="M37" s="14"/>
      <c r="N37" s="14"/>
      <c r="O37" s="15"/>
      <c r="P37" s="15"/>
      <c r="Q37" s="14"/>
      <c r="R37" s="14"/>
      <c r="S37" s="18"/>
    </row>
    <row r="38" ht="71.25" spans="1:19">
      <c r="A38" s="14">
        <v>37</v>
      </c>
      <c r="B38" s="15">
        <v>46308</v>
      </c>
      <c r="C38" s="14" t="s">
        <v>19</v>
      </c>
      <c r="D38" s="14" t="s">
        <v>175</v>
      </c>
      <c r="E38" s="14" t="s">
        <v>180</v>
      </c>
      <c r="F38" s="14" t="s">
        <v>181</v>
      </c>
      <c r="G38" s="14"/>
      <c r="H38" s="14" t="s">
        <v>182</v>
      </c>
      <c r="I38" s="14" t="s">
        <v>183</v>
      </c>
      <c r="J38" s="14"/>
      <c r="K38" s="15"/>
      <c r="L38" s="15" t="str">
        <f t="shared" si="1"/>
        <v/>
      </c>
      <c r="M38" s="14"/>
      <c r="N38" s="14"/>
      <c r="O38" s="15"/>
      <c r="P38" s="15"/>
      <c r="Q38" s="14"/>
      <c r="R38" s="14"/>
      <c r="S38" s="18"/>
    </row>
    <row r="39" ht="42.75" spans="1:19">
      <c r="A39" s="14">
        <v>38</v>
      </c>
      <c r="B39" s="15">
        <v>46309</v>
      </c>
      <c r="C39" s="14" t="s">
        <v>6</v>
      </c>
      <c r="D39" s="14" t="s">
        <v>175</v>
      </c>
      <c r="E39" s="14" t="s">
        <v>176</v>
      </c>
      <c r="F39" s="14" t="s">
        <v>184</v>
      </c>
      <c r="G39" s="14" t="s">
        <v>185</v>
      </c>
      <c r="H39" s="14" t="s">
        <v>186</v>
      </c>
      <c r="I39" s="14" t="s">
        <v>183</v>
      </c>
      <c r="J39" s="14"/>
      <c r="K39" s="15"/>
      <c r="L39" s="15" t="str">
        <f t="shared" si="1"/>
        <v/>
      </c>
      <c r="M39" s="14"/>
      <c r="N39" s="14"/>
      <c r="O39" s="15" t="str">
        <f>IF(AND($K39&lt;&gt;"",$M39&lt;&gt;""),$K39+VLOOKUP($M39,'Redo Rules'!$A$2:$D$5,4,FALSE),"")</f>
        <v/>
      </c>
      <c r="P39" s="15"/>
      <c r="Q39" s="14"/>
      <c r="R39" s="14"/>
      <c r="S39" s="18"/>
    </row>
    <row r="40" ht="42.75" spans="1:19">
      <c r="A40" s="14">
        <v>39</v>
      </c>
      <c r="B40" s="15">
        <v>46310</v>
      </c>
      <c r="C40" s="14" t="s">
        <v>6</v>
      </c>
      <c r="D40" s="14" t="s">
        <v>175</v>
      </c>
      <c r="E40" s="14" t="s">
        <v>180</v>
      </c>
      <c r="F40" s="14" t="s">
        <v>187</v>
      </c>
      <c r="G40" s="14" t="s">
        <v>188</v>
      </c>
      <c r="H40" s="14" t="s">
        <v>189</v>
      </c>
      <c r="I40" s="14" t="s">
        <v>190</v>
      </c>
      <c r="J40" s="14"/>
      <c r="K40" s="15"/>
      <c r="L40" s="15" t="str">
        <f t="shared" si="1"/>
        <v/>
      </c>
      <c r="M40" s="14"/>
      <c r="N40" s="14"/>
      <c r="O40" s="15" t="str">
        <f>IF(AND($K40&lt;&gt;"",$M40&lt;&gt;""),$K40+VLOOKUP($M40,'Redo Rules'!$A$2:$D$5,4,FALSE),"")</f>
        <v/>
      </c>
      <c r="P40" s="15"/>
      <c r="Q40" s="14"/>
      <c r="R40" s="14"/>
      <c r="S40" s="18"/>
    </row>
    <row r="41" ht="57" spans="1:19">
      <c r="A41" s="14">
        <v>40</v>
      </c>
      <c r="B41" s="15">
        <v>46311</v>
      </c>
      <c r="C41" s="14" t="s">
        <v>6</v>
      </c>
      <c r="D41" s="14" t="s">
        <v>175</v>
      </c>
      <c r="E41" s="14" t="s">
        <v>191</v>
      </c>
      <c r="F41" s="14" t="s">
        <v>192</v>
      </c>
      <c r="G41" s="14" t="s">
        <v>193</v>
      </c>
      <c r="H41" s="14" t="s">
        <v>194</v>
      </c>
      <c r="I41" s="14" t="s">
        <v>195</v>
      </c>
      <c r="J41" s="14"/>
      <c r="K41" s="15"/>
      <c r="L41" s="15" t="str">
        <f t="shared" si="1"/>
        <v/>
      </c>
      <c r="M41" s="14"/>
      <c r="N41" s="14"/>
      <c r="O41" s="15" t="str">
        <f>IF(AND($K41&lt;&gt;"",$M41&lt;&gt;""),$K41+VLOOKUP($M41,'Redo Rules'!$A$2:$D$5,4,FALSE),"")</f>
        <v/>
      </c>
      <c r="P41" s="15"/>
      <c r="Q41" s="14"/>
      <c r="R41" s="14"/>
      <c r="S41" s="18"/>
    </row>
    <row r="42" ht="42.75" spans="1:19">
      <c r="A42" s="14">
        <v>41</v>
      </c>
      <c r="B42" s="15">
        <v>46312</v>
      </c>
      <c r="C42" s="14" t="s">
        <v>6</v>
      </c>
      <c r="D42" s="14" t="s">
        <v>175</v>
      </c>
      <c r="E42" s="14" t="s">
        <v>176</v>
      </c>
      <c r="F42" s="14" t="s">
        <v>196</v>
      </c>
      <c r="G42" s="14" t="s">
        <v>197</v>
      </c>
      <c r="H42" s="14" t="s">
        <v>198</v>
      </c>
      <c r="I42" s="14" t="s">
        <v>199</v>
      </c>
      <c r="J42" s="14"/>
      <c r="K42" s="15"/>
      <c r="L42" s="15" t="str">
        <f t="shared" si="1"/>
        <v/>
      </c>
      <c r="M42" s="14"/>
      <c r="N42" s="14"/>
      <c r="O42" s="15" t="str">
        <f>IF(AND($K42&lt;&gt;"",$M42&lt;&gt;""),$K42+VLOOKUP($M42,'Redo Rules'!$A$2:$D$5,4,FALSE),"")</f>
        <v/>
      </c>
      <c r="P42" s="15"/>
      <c r="Q42" s="14"/>
      <c r="R42" s="14"/>
      <c r="S42" s="18"/>
    </row>
    <row r="43" ht="42.75" spans="1:19">
      <c r="A43" s="14">
        <v>42</v>
      </c>
      <c r="B43" s="15">
        <v>46313</v>
      </c>
      <c r="C43" s="14" t="s">
        <v>6</v>
      </c>
      <c r="D43" s="14" t="s">
        <v>175</v>
      </c>
      <c r="E43" s="14" t="s">
        <v>180</v>
      </c>
      <c r="F43" s="14" t="s">
        <v>200</v>
      </c>
      <c r="G43" s="14" t="s">
        <v>201</v>
      </c>
      <c r="H43" s="14" t="s">
        <v>202</v>
      </c>
      <c r="I43" s="14" t="s">
        <v>203</v>
      </c>
      <c r="J43" s="14"/>
      <c r="K43" s="15"/>
      <c r="L43" s="15" t="str">
        <f t="shared" si="1"/>
        <v/>
      </c>
      <c r="M43" s="14"/>
      <c r="N43" s="14"/>
      <c r="O43" s="15" t="str">
        <f>IF(AND($K43&lt;&gt;"",$M43&lt;&gt;""),$K43+VLOOKUP($M43,'Redo Rules'!$A$2:$D$5,4,FALSE),"")</f>
        <v/>
      </c>
      <c r="P43" s="15"/>
      <c r="Q43" s="14"/>
      <c r="R43" s="14"/>
      <c r="S43" s="18"/>
    </row>
    <row r="44" ht="42.75" spans="1:19">
      <c r="A44" s="14">
        <v>43</v>
      </c>
      <c r="B44" s="15">
        <v>46314</v>
      </c>
      <c r="C44" s="14" t="s">
        <v>6</v>
      </c>
      <c r="D44" s="14" t="s">
        <v>175</v>
      </c>
      <c r="E44" s="14" t="s">
        <v>204</v>
      </c>
      <c r="F44" s="14" t="s">
        <v>205</v>
      </c>
      <c r="G44" s="14" t="s">
        <v>206</v>
      </c>
      <c r="H44" s="14" t="s">
        <v>207</v>
      </c>
      <c r="I44" s="14" t="s">
        <v>208</v>
      </c>
      <c r="J44" s="14"/>
      <c r="K44" s="15"/>
      <c r="L44" s="15" t="str">
        <f t="shared" si="1"/>
        <v/>
      </c>
      <c r="M44" s="14"/>
      <c r="N44" s="14"/>
      <c r="O44" s="15" t="str">
        <f>IF(AND($K44&lt;&gt;"",$M44&lt;&gt;""),$K44+VLOOKUP($M44,'Redo Rules'!$A$2:$D$5,4,FALSE),"")</f>
        <v/>
      </c>
      <c r="P44" s="15"/>
      <c r="Q44" s="14"/>
      <c r="R44" s="14"/>
      <c r="S44" s="18"/>
    </row>
    <row r="45" ht="99.75" spans="1:19">
      <c r="A45" s="14">
        <v>44</v>
      </c>
      <c r="B45" s="15">
        <v>46315</v>
      </c>
      <c r="C45" s="14" t="s">
        <v>46</v>
      </c>
      <c r="D45" s="14" t="s">
        <v>175</v>
      </c>
      <c r="E45" s="14" t="s">
        <v>209</v>
      </c>
      <c r="F45" s="14" t="s">
        <v>210</v>
      </c>
      <c r="G45" s="14"/>
      <c r="H45" s="14" t="s">
        <v>211</v>
      </c>
      <c r="I45" s="14" t="s">
        <v>212</v>
      </c>
      <c r="J45" s="14" t="s">
        <v>213</v>
      </c>
      <c r="K45" s="15"/>
      <c r="L45" s="15" t="str">
        <f t="shared" si="1"/>
        <v/>
      </c>
      <c r="M45" s="14"/>
      <c r="N45" s="14"/>
      <c r="O45" s="15"/>
      <c r="P45" s="15"/>
      <c r="Q45" s="14"/>
      <c r="R45" s="14"/>
      <c r="S45" s="18"/>
    </row>
    <row r="46" ht="71.25" spans="1:19">
      <c r="A46" s="14">
        <v>45</v>
      </c>
      <c r="B46" s="15">
        <v>46316</v>
      </c>
      <c r="C46" s="14" t="s">
        <v>214</v>
      </c>
      <c r="D46" s="14" t="s">
        <v>215</v>
      </c>
      <c r="E46" s="14" t="s">
        <v>216</v>
      </c>
      <c r="F46" s="14" t="s">
        <v>217</v>
      </c>
      <c r="G46" s="14"/>
      <c r="H46" s="14"/>
      <c r="I46" s="14" t="s">
        <v>218</v>
      </c>
      <c r="J46" s="14"/>
      <c r="K46" s="15"/>
      <c r="L46" s="15" t="str">
        <f t="shared" si="1"/>
        <v/>
      </c>
      <c r="M46" s="14"/>
      <c r="N46" s="14"/>
      <c r="O46" s="15"/>
      <c r="P46" s="15"/>
      <c r="Q46" s="14"/>
      <c r="R46" s="14"/>
      <c r="S46" s="18"/>
    </row>
    <row r="47" ht="71.25" spans="1:19">
      <c r="A47" s="14">
        <v>46</v>
      </c>
      <c r="B47" s="15">
        <v>46317</v>
      </c>
      <c r="C47" s="14" t="s">
        <v>214</v>
      </c>
      <c r="D47" s="14" t="s">
        <v>215</v>
      </c>
      <c r="E47" s="14" t="s">
        <v>216</v>
      </c>
      <c r="F47" s="14" t="s">
        <v>219</v>
      </c>
      <c r="G47" s="14"/>
      <c r="H47" s="14"/>
      <c r="I47" s="14" t="s">
        <v>220</v>
      </c>
      <c r="J47" s="14"/>
      <c r="K47" s="15"/>
      <c r="L47" s="15" t="str">
        <f t="shared" si="1"/>
        <v/>
      </c>
      <c r="M47" s="14"/>
      <c r="N47" s="14"/>
      <c r="O47" s="15"/>
      <c r="P47" s="15"/>
      <c r="Q47" s="14"/>
      <c r="R47" s="14"/>
      <c r="S47" s="18"/>
    </row>
    <row r="48" spans="1:19">
      <c r="A48" s="14"/>
      <c r="B48" s="16"/>
      <c r="C48" s="14"/>
      <c r="D48" s="14"/>
      <c r="E48" s="14"/>
      <c r="F48" s="14"/>
      <c r="G48" s="14"/>
      <c r="H48" s="14"/>
      <c r="I48" s="14"/>
      <c r="J48" s="14"/>
      <c r="K48" s="16"/>
      <c r="L48" s="16" t="str">
        <f t="shared" si="1"/>
        <v/>
      </c>
      <c r="M48" s="14"/>
      <c r="N48" s="14"/>
      <c r="O48" s="16"/>
      <c r="P48" s="16"/>
      <c r="Q48" s="14"/>
      <c r="R48" s="14"/>
      <c r="S48" s="18"/>
    </row>
    <row r="49" spans="1:19">
      <c r="A49" s="14"/>
      <c r="B49" s="16"/>
      <c r="C49" s="14"/>
      <c r="D49" s="14"/>
      <c r="E49" s="14"/>
      <c r="F49" s="14"/>
      <c r="G49" s="14"/>
      <c r="H49" s="14"/>
      <c r="I49" s="14"/>
      <c r="J49" s="14"/>
      <c r="K49" s="16"/>
      <c r="L49" s="16" t="str">
        <f t="shared" si="1"/>
        <v/>
      </c>
      <c r="M49" s="14"/>
      <c r="N49" s="14"/>
      <c r="O49" s="16"/>
      <c r="P49" s="16"/>
      <c r="Q49" s="14"/>
      <c r="R49" s="14"/>
      <c r="S49" s="18"/>
    </row>
    <row r="50" spans="1:19">
      <c r="A50" s="14"/>
      <c r="B50" s="16"/>
      <c r="C50" s="14"/>
      <c r="D50" s="14"/>
      <c r="E50" s="14"/>
      <c r="F50" s="14"/>
      <c r="G50" s="14"/>
      <c r="H50" s="14"/>
      <c r="I50" s="14"/>
      <c r="J50" s="14"/>
      <c r="K50" s="16"/>
      <c r="L50" s="16" t="str">
        <f t="shared" si="1"/>
        <v/>
      </c>
      <c r="M50" s="14"/>
      <c r="N50" s="14"/>
      <c r="O50" s="16"/>
      <c r="P50" s="16"/>
      <c r="Q50" s="14"/>
      <c r="R50" s="14"/>
      <c r="S50" s="18"/>
    </row>
    <row r="51" spans="1:19">
      <c r="A51" s="14"/>
      <c r="B51" s="16"/>
      <c r="C51" s="14"/>
      <c r="D51" s="14"/>
      <c r="E51" s="14"/>
      <c r="F51" s="14"/>
      <c r="G51" s="14"/>
      <c r="H51" s="14"/>
      <c r="I51" s="14"/>
      <c r="J51" s="14"/>
      <c r="K51" s="16"/>
      <c r="L51" s="16" t="str">
        <f t="shared" si="1"/>
        <v/>
      </c>
      <c r="M51" s="14"/>
      <c r="N51" s="14"/>
      <c r="O51" s="16"/>
      <c r="P51" s="16"/>
      <c r="Q51" s="14"/>
      <c r="R51" s="14"/>
      <c r="S51" s="18"/>
    </row>
    <row r="52" spans="1:19">
      <c r="A52" s="14"/>
      <c r="B52" s="16"/>
      <c r="C52" s="14"/>
      <c r="D52" s="14"/>
      <c r="E52" s="14"/>
      <c r="F52" s="14"/>
      <c r="G52" s="14"/>
      <c r="H52" s="14"/>
      <c r="I52" s="14"/>
      <c r="J52" s="14"/>
      <c r="K52" s="16"/>
      <c r="L52" s="16" t="str">
        <f t="shared" si="1"/>
        <v/>
      </c>
      <c r="M52" s="14"/>
      <c r="N52" s="14"/>
      <c r="O52" s="16"/>
      <c r="P52" s="16"/>
      <c r="Q52" s="14"/>
      <c r="R52" s="14"/>
      <c r="S52" s="18"/>
    </row>
    <row r="53" spans="1:19">
      <c r="A53" s="14"/>
      <c r="B53" s="16"/>
      <c r="C53" s="14"/>
      <c r="D53" s="14"/>
      <c r="E53" s="14"/>
      <c r="F53" s="14"/>
      <c r="G53" s="14"/>
      <c r="H53" s="14"/>
      <c r="I53" s="14"/>
      <c r="J53" s="14"/>
      <c r="K53" s="16"/>
      <c r="L53" s="16" t="str">
        <f t="shared" si="1"/>
        <v/>
      </c>
      <c r="M53" s="14"/>
      <c r="N53" s="14"/>
      <c r="O53" s="16"/>
      <c r="P53" s="16"/>
      <c r="Q53" s="14"/>
      <c r="R53" s="14"/>
      <c r="S53" s="18"/>
    </row>
    <row r="54" spans="1:19">
      <c r="A54" s="14"/>
      <c r="B54" s="16"/>
      <c r="C54" s="14"/>
      <c r="D54" s="14"/>
      <c r="E54" s="14"/>
      <c r="F54" s="14"/>
      <c r="G54" s="14"/>
      <c r="H54" s="14"/>
      <c r="I54" s="14"/>
      <c r="J54" s="14"/>
      <c r="K54" s="16"/>
      <c r="L54" s="16" t="str">
        <f t="shared" si="1"/>
        <v/>
      </c>
      <c r="M54" s="14"/>
      <c r="N54" s="14"/>
      <c r="O54" s="16"/>
      <c r="P54" s="16"/>
      <c r="Q54" s="14"/>
      <c r="R54" s="14"/>
      <c r="S54" s="18"/>
    </row>
    <row r="55" spans="1:19">
      <c r="A55" s="14"/>
      <c r="B55" s="16"/>
      <c r="C55" s="14"/>
      <c r="D55" s="14"/>
      <c r="E55" s="14"/>
      <c r="F55" s="14"/>
      <c r="G55" s="14"/>
      <c r="H55" s="14"/>
      <c r="I55" s="14"/>
      <c r="J55" s="14"/>
      <c r="K55" s="16"/>
      <c r="L55" s="16" t="str">
        <f t="shared" si="1"/>
        <v/>
      </c>
      <c r="M55" s="14"/>
      <c r="N55" s="14"/>
      <c r="O55" s="16"/>
      <c r="P55" s="16"/>
      <c r="Q55" s="14"/>
      <c r="R55" s="14"/>
      <c r="S55" s="18"/>
    </row>
    <row r="56" spans="1:19">
      <c r="A56" s="14"/>
      <c r="B56" s="16"/>
      <c r="C56" s="14"/>
      <c r="D56" s="14"/>
      <c r="E56" s="14"/>
      <c r="F56" s="14"/>
      <c r="G56" s="14"/>
      <c r="H56" s="14"/>
      <c r="I56" s="14"/>
      <c r="J56" s="14"/>
      <c r="K56" s="16"/>
      <c r="L56" s="16" t="str">
        <f t="shared" si="1"/>
        <v/>
      </c>
      <c r="M56" s="14"/>
      <c r="N56" s="14"/>
      <c r="O56" s="16"/>
      <c r="P56" s="16"/>
      <c r="Q56" s="14"/>
      <c r="R56" s="14"/>
      <c r="S56" s="18"/>
    </row>
    <row r="57" spans="1:19">
      <c r="A57" s="14"/>
      <c r="B57" s="16"/>
      <c r="C57" s="14"/>
      <c r="D57" s="14"/>
      <c r="E57" s="14"/>
      <c r="F57" s="14"/>
      <c r="G57" s="14"/>
      <c r="H57" s="14"/>
      <c r="I57" s="14"/>
      <c r="J57" s="14"/>
      <c r="K57" s="16"/>
      <c r="L57" s="16" t="str">
        <f t="shared" si="1"/>
        <v/>
      </c>
      <c r="M57" s="14"/>
      <c r="N57" s="14"/>
      <c r="O57" s="16"/>
      <c r="P57" s="16"/>
      <c r="Q57" s="14"/>
      <c r="R57" s="14"/>
      <c r="S57" s="18"/>
    </row>
    <row r="58" spans="1:19">
      <c r="A58" s="14"/>
      <c r="B58" s="16"/>
      <c r="C58" s="14"/>
      <c r="D58" s="14"/>
      <c r="E58" s="14"/>
      <c r="F58" s="14"/>
      <c r="G58" s="14"/>
      <c r="H58" s="14"/>
      <c r="I58" s="14"/>
      <c r="J58" s="14"/>
      <c r="K58" s="16"/>
      <c r="L58" s="16" t="str">
        <f t="shared" si="1"/>
        <v/>
      </c>
      <c r="M58" s="14"/>
      <c r="N58" s="14"/>
      <c r="O58" s="16"/>
      <c r="P58" s="16"/>
      <c r="Q58" s="14"/>
      <c r="R58" s="14"/>
      <c r="S58" s="18"/>
    </row>
    <row r="59" spans="1:19">
      <c r="A59" s="14"/>
      <c r="B59" s="16"/>
      <c r="C59" s="14"/>
      <c r="D59" s="14"/>
      <c r="E59" s="14"/>
      <c r="F59" s="14"/>
      <c r="G59" s="14"/>
      <c r="H59" s="14"/>
      <c r="I59" s="14"/>
      <c r="J59" s="14"/>
      <c r="K59" s="16"/>
      <c r="L59" s="16" t="str">
        <f t="shared" si="1"/>
        <v/>
      </c>
      <c r="M59" s="14"/>
      <c r="N59" s="14"/>
      <c r="O59" s="16"/>
      <c r="P59" s="16"/>
      <c r="Q59" s="14"/>
      <c r="R59" s="14"/>
      <c r="S59" s="18"/>
    </row>
    <row r="60" spans="1:19">
      <c r="A60" s="14"/>
      <c r="B60" s="16"/>
      <c r="C60" s="14"/>
      <c r="D60" s="14"/>
      <c r="E60" s="14"/>
      <c r="F60" s="14"/>
      <c r="G60" s="14"/>
      <c r="H60" s="14"/>
      <c r="I60" s="14"/>
      <c r="J60" s="14"/>
      <c r="K60" s="16"/>
      <c r="L60" s="16" t="str">
        <f t="shared" si="1"/>
        <v/>
      </c>
      <c r="M60" s="14"/>
      <c r="N60" s="14"/>
      <c r="O60" s="16"/>
      <c r="P60" s="16"/>
      <c r="Q60" s="14"/>
      <c r="R60" s="14"/>
      <c r="S60" s="18"/>
    </row>
    <row r="61" spans="1:19">
      <c r="A61" s="14"/>
      <c r="B61" s="16"/>
      <c r="C61" s="14"/>
      <c r="D61" s="14"/>
      <c r="E61" s="14"/>
      <c r="F61" s="14"/>
      <c r="G61" s="14"/>
      <c r="H61" s="14"/>
      <c r="I61" s="14"/>
      <c r="J61" s="14"/>
      <c r="K61" s="16"/>
      <c r="L61" s="16" t="str">
        <f t="shared" si="1"/>
        <v/>
      </c>
      <c r="M61" s="14"/>
      <c r="N61" s="14"/>
      <c r="O61" s="16"/>
      <c r="P61" s="16"/>
      <c r="Q61" s="14"/>
      <c r="R61" s="14"/>
      <c r="S61" s="18"/>
    </row>
    <row r="62" spans="1:19">
      <c r="A62" s="14"/>
      <c r="B62" s="16"/>
      <c r="C62" s="14"/>
      <c r="D62" s="14"/>
      <c r="E62" s="14"/>
      <c r="F62" s="14"/>
      <c r="G62" s="14"/>
      <c r="H62" s="14"/>
      <c r="I62" s="14"/>
      <c r="J62" s="14"/>
      <c r="K62" s="16"/>
      <c r="L62" s="16" t="str">
        <f t="shared" si="1"/>
        <v/>
      </c>
      <c r="M62" s="14"/>
      <c r="N62" s="14"/>
      <c r="O62" s="16"/>
      <c r="P62" s="16"/>
      <c r="Q62" s="14"/>
      <c r="R62" s="14"/>
      <c r="S62" s="18"/>
    </row>
    <row r="63" spans="1:19">
      <c r="A63" s="14"/>
      <c r="B63" s="16"/>
      <c r="C63" s="14"/>
      <c r="D63" s="14"/>
      <c r="E63" s="14"/>
      <c r="F63" s="14"/>
      <c r="G63" s="14"/>
      <c r="H63" s="14"/>
      <c r="I63" s="14"/>
      <c r="J63" s="14"/>
      <c r="K63" s="16"/>
      <c r="L63" s="16" t="str">
        <f t="shared" si="1"/>
        <v/>
      </c>
      <c r="M63" s="14"/>
      <c r="N63" s="14"/>
      <c r="O63" s="16"/>
      <c r="P63" s="16"/>
      <c r="Q63" s="14"/>
      <c r="R63" s="14"/>
      <c r="S63" s="18"/>
    </row>
    <row r="64" spans="1:19">
      <c r="A64" s="14"/>
      <c r="B64" s="16"/>
      <c r="C64" s="14"/>
      <c r="D64" s="14"/>
      <c r="E64" s="14"/>
      <c r="F64" s="14"/>
      <c r="G64" s="14"/>
      <c r="H64" s="14"/>
      <c r="I64" s="14"/>
      <c r="J64" s="14"/>
      <c r="K64" s="16"/>
      <c r="L64" s="16" t="str">
        <f t="shared" si="1"/>
        <v/>
      </c>
      <c r="M64" s="14"/>
      <c r="N64" s="14"/>
      <c r="O64" s="16"/>
      <c r="P64" s="16"/>
      <c r="Q64" s="14"/>
      <c r="R64" s="14"/>
      <c r="S64" s="18"/>
    </row>
  </sheetData>
  <conditionalFormatting sqref="M2:M64">
    <cfRule type="expression" dxfId="0" priority="1">
      <formula>$M2="Totally ignorance"</formula>
    </cfRule>
    <cfRule type="expression" dxfId="1" priority="2">
      <formula>$M2="Spark"</formula>
    </cfRule>
    <cfRule type="expression" dxfId="2" priority="3">
      <formula>$M2="Skeleton"</formula>
    </cfRule>
    <cfRule type="expression" dxfId="3" priority="4">
      <formula>$M2="Crack it"</formula>
    </cfRule>
  </conditionalFormatting>
  <conditionalFormatting sqref="O2:O64">
    <cfRule type="expression" dxfId="4" priority="5">
      <formula>AND($O2&lt;&gt;"",$O2&lt;=TODAY(),$P2="")</formula>
    </cfRule>
  </conditionalFormatting>
  <dataValidations count="2">
    <dataValidation type="list" sqref="M2:M64">
      <formula1>"Totally ignorance,Spark,Skeleton,Crack it"</formula1>
    </dataValidation>
    <dataValidation type="list" sqref="Q2:R64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25" outlineLevelCol="1"/>
  <cols>
    <col min="1" max="1" width="24" customWidth="1"/>
    <col min="2" max="2" width="80" customWidth="1"/>
  </cols>
  <sheetData>
    <row r="1" ht="30" spans="1:2">
      <c r="A1" s="6" t="s">
        <v>221</v>
      </c>
      <c r="B1" s="6"/>
    </row>
    <row r="2" ht="142.5" spans="1:2">
      <c r="A2" s="10" t="s">
        <v>222</v>
      </c>
      <c r="B2" s="10"/>
    </row>
    <row r="3" spans="1:2">
      <c r="A3" s="7" t="s">
        <v>223</v>
      </c>
      <c r="B3" s="11">
        <v>46272</v>
      </c>
    </row>
    <row r="4" ht="15" spans="1:2">
      <c r="A4" s="12" t="s">
        <v>224</v>
      </c>
      <c r="B4" s="7">
        <f>COUNTA('Master Schedule'!A2:A64)</f>
        <v>46</v>
      </c>
    </row>
    <row r="5" ht="15" spans="1:2">
      <c r="A5" s="12" t="s">
        <v>225</v>
      </c>
      <c r="B5" s="7">
        <f>COUNTIF('Master Schedule'!C2:C64,"Read")</f>
        <v>12</v>
      </c>
    </row>
    <row r="6" ht="30" spans="1:2">
      <c r="A6" s="12" t="s">
        <v>226</v>
      </c>
      <c r="B6" s="7">
        <f>COUNTIF('Master Schedule'!C2:C64,"Exercise")</f>
        <v>26</v>
      </c>
    </row>
    <row r="7" ht="15" spans="1:2">
      <c r="A7" s="12" t="s">
        <v>227</v>
      </c>
      <c r="B7" s="7">
        <f>COUNTIF('Master Schedule'!C2:C64,"Gate")</f>
        <v>6</v>
      </c>
    </row>
    <row r="8" ht="15" spans="1:2">
      <c r="A8" s="12" t="s">
        <v>228</v>
      </c>
      <c r="B8" s="7">
        <f>COUNTIF('Master Schedule'!C2:C64,"Summary")</f>
        <v>2</v>
      </c>
    </row>
    <row r="9" ht="30" spans="1:2">
      <c r="A9" s="12" t="s">
        <v>229</v>
      </c>
      <c r="B9" s="7">
        <f>COUNTIF('Exercise Map'!F4:F39,"No")</f>
        <v>10</v>
      </c>
    </row>
    <row r="10" ht="15" spans="1:2">
      <c r="A10" s="12" t="s">
        <v>230</v>
      </c>
      <c r="B10" s="7">
        <f>COUNT('Master Schedule'!P2:P64)</f>
        <v>0</v>
      </c>
    </row>
    <row r="11" spans="1:2">
      <c r="A11" s="7" t="s">
        <v>231</v>
      </c>
      <c r="B11" s="7">
        <f ca="1">COUNTIFS('Master Schedule'!O2:O64,"&lt;="&amp;TODAY(),'Master Schedule'!O2:O64,"&gt;0",'Master Schedule'!P2:P64,"")</f>
        <v>0</v>
      </c>
    </row>
    <row r="12" ht="15" spans="1:2">
      <c r="A12" s="12"/>
      <c r="B12" s="7"/>
    </row>
    <row r="13" ht="15" spans="1:2">
      <c r="A13" s="12" t="s">
        <v>232</v>
      </c>
      <c r="B13" s="7">
        <f>COUNTIF('Master Schedule'!M2:M64,"Totally ignorance")</f>
        <v>0</v>
      </c>
    </row>
    <row r="14" ht="15" spans="1:2">
      <c r="A14" s="12" t="s">
        <v>233</v>
      </c>
      <c r="B14" s="7">
        <f>COUNTIF('Master Schedule'!M2:M64,"Spark")</f>
        <v>0</v>
      </c>
    </row>
    <row r="15" ht="15" spans="1:2">
      <c r="A15" s="12" t="s">
        <v>234</v>
      </c>
      <c r="B15" s="7">
        <f>COUNTIF('Master Schedule'!M2:M64,"Skeleton")</f>
        <v>0</v>
      </c>
    </row>
    <row r="16" spans="1:2">
      <c r="A16" s="7" t="s">
        <v>235</v>
      </c>
      <c r="B16" s="7">
        <f>COUNTIF('Master Schedule'!M2:M64,"Crack it")</f>
        <v>0</v>
      </c>
    </row>
    <row r="17" ht="15" spans="1:2">
      <c r="A17" s="12" t="s">
        <v>236</v>
      </c>
      <c r="B17" s="7" t="s">
        <v>237</v>
      </c>
    </row>
    <row r="18" ht="28.5" spans="1:2">
      <c r="A18" s="12" t="s">
        <v>238</v>
      </c>
      <c r="B18" s="7" t="s">
        <v>239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4.25" outlineLevelCol="3"/>
  <cols>
    <col min="1" max="1" width="22" customWidth="1"/>
    <col min="2" max="2" width="36" customWidth="1"/>
    <col min="3" max="3" width="70" customWidth="1"/>
    <col min="4" max="4" width="18" customWidth="1"/>
  </cols>
  <sheetData>
    <row r="1" ht="15" spans="1:4">
      <c r="A1" s="6" t="s">
        <v>12</v>
      </c>
      <c r="B1" s="6" t="s">
        <v>240</v>
      </c>
      <c r="C1" s="6" t="s">
        <v>241</v>
      </c>
      <c r="D1" s="6" t="s">
        <v>242</v>
      </c>
    </row>
    <row r="2" ht="28.5" spans="1:4">
      <c r="A2" s="7" t="s">
        <v>232</v>
      </c>
      <c r="B2" s="7" t="s">
        <v>243</v>
      </c>
      <c r="C2" s="7" t="s">
        <v>244</v>
      </c>
      <c r="D2" s="8">
        <v>1</v>
      </c>
    </row>
    <row r="3" spans="1:4">
      <c r="A3" s="7" t="s">
        <v>233</v>
      </c>
      <c r="B3" s="7" t="s">
        <v>245</v>
      </c>
      <c r="C3" s="7" t="s">
        <v>246</v>
      </c>
      <c r="D3" s="8">
        <v>2</v>
      </c>
    </row>
    <row r="4" ht="28.5" spans="1:4">
      <c r="A4" s="7" t="s">
        <v>234</v>
      </c>
      <c r="B4" s="7" t="s">
        <v>247</v>
      </c>
      <c r="C4" s="7" t="s">
        <v>248</v>
      </c>
      <c r="D4" s="8">
        <v>2</v>
      </c>
    </row>
    <row r="5" spans="1:4">
      <c r="A5" s="7" t="s">
        <v>235</v>
      </c>
      <c r="B5" s="7" t="s">
        <v>249</v>
      </c>
      <c r="C5" s="7" t="s">
        <v>250</v>
      </c>
      <c r="D5" s="8">
        <v>2</v>
      </c>
    </row>
    <row r="6" ht="57" spans="1:4">
      <c r="A6" s="7" t="s">
        <v>251</v>
      </c>
      <c r="B6" s="7" t="s">
        <v>252</v>
      </c>
      <c r="C6" s="7"/>
      <c r="D6" s="7"/>
    </row>
    <row r="7" spans="1:4">
      <c r="A7" s="7"/>
      <c r="B7" s="7"/>
      <c r="C7" s="7"/>
      <c r="D7" s="7"/>
    </row>
    <row r="8" ht="30" spans="1:4">
      <c r="A8" s="9" t="s">
        <v>253</v>
      </c>
      <c r="B8" s="9"/>
      <c r="C8" s="9"/>
      <c r="D8" s="9"/>
    </row>
    <row r="9" ht="28.5" spans="1:4">
      <c r="A9" s="7" t="s">
        <v>254</v>
      </c>
      <c r="B9" s="7" t="s">
        <v>255</v>
      </c>
      <c r="C9" s="7" t="s">
        <v>256</v>
      </c>
      <c r="D9" s="7"/>
    </row>
    <row r="10" ht="28.5" spans="1:4">
      <c r="A10" s="7" t="s">
        <v>257</v>
      </c>
      <c r="B10" s="7" t="s">
        <v>258</v>
      </c>
      <c r="C10" s="7" t="s">
        <v>259</v>
      </c>
      <c r="D10" s="7"/>
    </row>
    <row r="11" ht="28.5" spans="1:4">
      <c r="A11" s="7" t="s">
        <v>260</v>
      </c>
      <c r="B11" s="7" t="s">
        <v>261</v>
      </c>
      <c r="C11" s="7" t="s">
        <v>262</v>
      </c>
      <c r="D11" s="7"/>
    </row>
    <row r="12" ht="28.5" spans="1:4">
      <c r="A12" s="7" t="s">
        <v>263</v>
      </c>
      <c r="B12" s="7" t="s">
        <v>264</v>
      </c>
      <c r="C12" s="7" t="s">
        <v>265</v>
      </c>
      <c r="D12" s="7"/>
    </row>
    <row r="13" ht="28.5" spans="1:4">
      <c r="A13" s="7" t="s">
        <v>266</v>
      </c>
      <c r="B13" s="7" t="s">
        <v>267</v>
      </c>
      <c r="C13" s="7" t="s">
        <v>268</v>
      </c>
      <c r="D13" s="7"/>
    </row>
    <row r="14" ht="28.5" spans="1:4">
      <c r="A14" s="7" t="s">
        <v>269</v>
      </c>
      <c r="B14" s="7" t="s">
        <v>270</v>
      </c>
      <c r="C14" s="7" t="s">
        <v>271</v>
      </c>
      <c r="D14" s="7"/>
    </row>
    <row r="15" ht="28.5" spans="1:4">
      <c r="A15" s="7" t="s">
        <v>272</v>
      </c>
      <c r="B15" s="7" t="s">
        <v>273</v>
      </c>
      <c r="C15" s="7" t="s">
        <v>274</v>
      </c>
      <c r="D15" s="7"/>
    </row>
    <row r="16" ht="28.5" spans="1:4">
      <c r="A16" s="7" t="s">
        <v>275</v>
      </c>
      <c r="B16" s="7" t="s">
        <v>276</v>
      </c>
      <c r="C16" s="7" t="s">
        <v>277</v>
      </c>
      <c r="D16" s="7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A1" sqref="A1:I1"/>
    </sheetView>
  </sheetViews>
  <sheetFormatPr defaultColWidth="9" defaultRowHeight="14.25"/>
  <cols>
    <col min="1" max="1" width="9" customWidth="1"/>
    <col min="2" max="2" width="22" customWidth="1"/>
    <col min="3" max="3" width="42" customWidth="1"/>
    <col min="4" max="4" width="16" customWidth="1"/>
    <col min="5" max="5" width="18" customWidth="1"/>
    <col min="6" max="6" width="12" customWidth="1"/>
    <col min="7" max="7" width="20" customWidth="1"/>
    <col min="8" max="8" width="13" customWidth="1"/>
    <col min="9" max="9" width="42" customWidth="1"/>
  </cols>
  <sheetData>
    <row r="1" ht="24" customHeight="1" spans="1:9">
      <c r="A1" s="1" t="s">
        <v>278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279</v>
      </c>
      <c r="B2" s="2"/>
      <c r="C2" s="2"/>
      <c r="D2" s="2"/>
      <c r="E2" s="2"/>
      <c r="F2" s="2"/>
      <c r="G2" s="2"/>
      <c r="H2" s="2"/>
      <c r="I2" s="2"/>
    </row>
    <row r="3" ht="15" spans="1:9">
      <c r="A3" s="3" t="s">
        <v>6</v>
      </c>
      <c r="B3" s="3" t="s">
        <v>280</v>
      </c>
      <c r="C3" s="3" t="s">
        <v>281</v>
      </c>
      <c r="D3" s="3" t="s">
        <v>282</v>
      </c>
      <c r="E3" s="3" t="s">
        <v>283</v>
      </c>
      <c r="F3" s="3" t="s">
        <v>284</v>
      </c>
      <c r="G3" s="3" t="s">
        <v>285</v>
      </c>
      <c r="H3" s="3" t="s">
        <v>286</v>
      </c>
      <c r="I3" s="3" t="s">
        <v>287</v>
      </c>
    </row>
    <row r="4" spans="1:9">
      <c r="A4" s="4">
        <v>1</v>
      </c>
      <c r="B4" s="4" t="s">
        <v>288</v>
      </c>
      <c r="C4" s="4" t="s">
        <v>289</v>
      </c>
      <c r="D4" s="4" t="s">
        <v>290</v>
      </c>
      <c r="E4" s="4" t="s">
        <v>290</v>
      </c>
      <c r="F4" s="4" t="s">
        <v>291</v>
      </c>
      <c r="G4" s="4" t="s">
        <v>85</v>
      </c>
      <c r="H4" s="4" t="s">
        <v>292</v>
      </c>
      <c r="I4" s="4" t="s">
        <v>293</v>
      </c>
    </row>
    <row r="5" ht="28.5" spans="1:9">
      <c r="A5" s="5">
        <v>2</v>
      </c>
      <c r="B5" s="5" t="s">
        <v>37</v>
      </c>
      <c r="C5" s="5" t="s">
        <v>294</v>
      </c>
      <c r="D5" s="5" t="s">
        <v>290</v>
      </c>
      <c r="E5" s="5" t="s">
        <v>290</v>
      </c>
      <c r="F5" s="5" t="s">
        <v>291</v>
      </c>
      <c r="G5" s="5" t="s">
        <v>21</v>
      </c>
      <c r="H5" s="5" t="s">
        <v>292</v>
      </c>
      <c r="I5" s="5" t="s">
        <v>295</v>
      </c>
    </row>
    <row r="6" ht="28.5" spans="1:9">
      <c r="A6" s="4">
        <v>3</v>
      </c>
      <c r="B6" s="4" t="s">
        <v>296</v>
      </c>
      <c r="C6" s="4" t="s">
        <v>297</v>
      </c>
      <c r="D6" s="4" t="s">
        <v>298</v>
      </c>
      <c r="E6" s="4" t="s">
        <v>299</v>
      </c>
      <c r="F6" s="4" t="s">
        <v>300</v>
      </c>
      <c r="G6" s="4" t="s">
        <v>301</v>
      </c>
      <c r="H6" s="4" t="s">
        <v>292</v>
      </c>
      <c r="I6" s="4" t="s">
        <v>302</v>
      </c>
    </row>
    <row r="7" ht="28.5" spans="1:9">
      <c r="A7" s="5">
        <v>4</v>
      </c>
      <c r="B7" s="5" t="s">
        <v>32</v>
      </c>
      <c r="C7" s="5" t="s">
        <v>303</v>
      </c>
      <c r="D7" s="5" t="s">
        <v>290</v>
      </c>
      <c r="E7" s="5" t="s">
        <v>290</v>
      </c>
      <c r="F7" s="5" t="s">
        <v>291</v>
      </c>
      <c r="G7" s="5" t="s">
        <v>21</v>
      </c>
      <c r="H7" s="5" t="s">
        <v>304</v>
      </c>
      <c r="I7" s="5" t="s">
        <v>305</v>
      </c>
    </row>
    <row r="8" ht="28.5" spans="1:9">
      <c r="A8" s="4">
        <v>5</v>
      </c>
      <c r="B8" s="4" t="s">
        <v>108</v>
      </c>
      <c r="C8" s="4" t="s">
        <v>306</v>
      </c>
      <c r="D8" s="4" t="s">
        <v>290</v>
      </c>
      <c r="E8" s="4" t="s">
        <v>290</v>
      </c>
      <c r="F8" s="4" t="s">
        <v>291</v>
      </c>
      <c r="G8" s="4" t="s">
        <v>108</v>
      </c>
      <c r="H8" s="4" t="s">
        <v>292</v>
      </c>
      <c r="I8" s="4" t="s">
        <v>307</v>
      </c>
    </row>
    <row r="9" spans="1:9">
      <c r="A9" s="5">
        <v>6</v>
      </c>
      <c r="B9" s="5" t="s">
        <v>176</v>
      </c>
      <c r="C9" s="5" t="s">
        <v>308</v>
      </c>
      <c r="D9" s="5" t="s">
        <v>290</v>
      </c>
      <c r="E9" s="5" t="s">
        <v>290</v>
      </c>
      <c r="F9" s="5" t="s">
        <v>291</v>
      </c>
      <c r="G9" s="5" t="s">
        <v>176</v>
      </c>
      <c r="H9" s="5" t="s">
        <v>292</v>
      </c>
      <c r="I9" s="5" t="s">
        <v>309</v>
      </c>
    </row>
    <row r="10" ht="28.5" spans="1:9">
      <c r="A10" s="4">
        <v>7</v>
      </c>
      <c r="B10" s="4" t="s">
        <v>85</v>
      </c>
      <c r="C10" s="4" t="s">
        <v>310</v>
      </c>
      <c r="D10" s="4" t="s">
        <v>290</v>
      </c>
      <c r="E10" s="4" t="s">
        <v>290</v>
      </c>
      <c r="F10" s="4" t="s">
        <v>291</v>
      </c>
      <c r="G10" s="4" t="s">
        <v>85</v>
      </c>
      <c r="H10" s="4" t="s">
        <v>292</v>
      </c>
      <c r="I10" s="4" t="s">
        <v>311</v>
      </c>
    </row>
    <row r="11" ht="28.5" spans="1:9">
      <c r="A11" s="5">
        <v>8</v>
      </c>
      <c r="B11" s="5" t="s">
        <v>56</v>
      </c>
      <c r="C11" s="5" t="s">
        <v>312</v>
      </c>
      <c r="D11" s="5" t="s">
        <v>290</v>
      </c>
      <c r="E11" s="5" t="s">
        <v>290</v>
      </c>
      <c r="F11" s="5" t="s">
        <v>291</v>
      </c>
      <c r="G11" s="5" t="s">
        <v>56</v>
      </c>
      <c r="H11" s="5" t="s">
        <v>292</v>
      </c>
      <c r="I11" s="5" t="s">
        <v>313</v>
      </c>
    </row>
    <row r="12" ht="28.5" spans="1:9">
      <c r="A12" s="4">
        <v>9</v>
      </c>
      <c r="B12" s="4" t="s">
        <v>108</v>
      </c>
      <c r="C12" s="4" t="s">
        <v>314</v>
      </c>
      <c r="D12" s="4" t="s">
        <v>290</v>
      </c>
      <c r="E12" s="4" t="s">
        <v>290</v>
      </c>
      <c r="F12" s="4" t="s">
        <v>291</v>
      </c>
      <c r="G12" s="4" t="s">
        <v>108</v>
      </c>
      <c r="H12" s="4" t="s">
        <v>292</v>
      </c>
      <c r="I12" s="4" t="s">
        <v>315</v>
      </c>
    </row>
    <row r="13" ht="28.5" spans="1:9">
      <c r="A13" s="5">
        <v>10</v>
      </c>
      <c r="B13" s="5" t="s">
        <v>37</v>
      </c>
      <c r="C13" s="5" t="s">
        <v>316</v>
      </c>
      <c r="D13" s="5" t="s">
        <v>290</v>
      </c>
      <c r="E13" s="5" t="s">
        <v>290</v>
      </c>
      <c r="F13" s="5" t="s">
        <v>291</v>
      </c>
      <c r="G13" s="5" t="s">
        <v>21</v>
      </c>
      <c r="H13" s="5" t="s">
        <v>292</v>
      </c>
      <c r="I13" s="5" t="s">
        <v>317</v>
      </c>
    </row>
    <row r="14" ht="28.5" spans="1:9">
      <c r="A14" s="4">
        <v>11</v>
      </c>
      <c r="B14" s="4" t="s">
        <v>108</v>
      </c>
      <c r="C14" s="4" t="s">
        <v>318</v>
      </c>
      <c r="D14" s="4" t="s">
        <v>319</v>
      </c>
      <c r="E14" s="4" t="s">
        <v>320</v>
      </c>
      <c r="F14" s="4" t="s">
        <v>300</v>
      </c>
      <c r="G14" s="4" t="s">
        <v>321</v>
      </c>
      <c r="H14" s="4" t="s">
        <v>322</v>
      </c>
      <c r="I14" s="4" t="s">
        <v>323</v>
      </c>
    </row>
    <row r="15" ht="28.5" spans="1:9">
      <c r="A15" s="5">
        <v>12</v>
      </c>
      <c r="B15" s="5" t="s">
        <v>52</v>
      </c>
      <c r="C15" s="5" t="s">
        <v>324</v>
      </c>
      <c r="D15" s="5" t="s">
        <v>290</v>
      </c>
      <c r="E15" s="5" t="s">
        <v>290</v>
      </c>
      <c r="F15" s="5" t="s">
        <v>291</v>
      </c>
      <c r="G15" s="5" t="s">
        <v>52</v>
      </c>
      <c r="H15" s="5" t="s">
        <v>292</v>
      </c>
      <c r="I15" s="5" t="s">
        <v>325</v>
      </c>
    </row>
    <row r="16" ht="28.5" spans="1:9">
      <c r="A16" s="4">
        <v>13</v>
      </c>
      <c r="B16" s="4" t="s">
        <v>128</v>
      </c>
      <c r="C16" s="4" t="s">
        <v>326</v>
      </c>
      <c r="D16" s="4" t="s">
        <v>298</v>
      </c>
      <c r="E16" s="4" t="s">
        <v>299</v>
      </c>
      <c r="F16" s="4" t="s">
        <v>300</v>
      </c>
      <c r="G16" s="4" t="s">
        <v>321</v>
      </c>
      <c r="H16" s="4" t="s">
        <v>292</v>
      </c>
      <c r="I16" s="4" t="s">
        <v>327</v>
      </c>
    </row>
    <row r="17" ht="28.5" spans="1:9">
      <c r="A17" s="5">
        <v>14</v>
      </c>
      <c r="B17" s="5" t="s">
        <v>165</v>
      </c>
      <c r="C17" s="5" t="s">
        <v>328</v>
      </c>
      <c r="D17" s="5" t="s">
        <v>329</v>
      </c>
      <c r="E17" s="5" t="s">
        <v>290</v>
      </c>
      <c r="F17" s="5" t="s">
        <v>291</v>
      </c>
      <c r="G17" s="5" t="s">
        <v>330</v>
      </c>
      <c r="H17" s="5" t="s">
        <v>292</v>
      </c>
      <c r="I17" s="5" t="s">
        <v>331</v>
      </c>
    </row>
    <row r="18" spans="1:9">
      <c r="A18" s="4">
        <v>15</v>
      </c>
      <c r="B18" s="4" t="s">
        <v>176</v>
      </c>
      <c r="C18" s="4" t="s">
        <v>332</v>
      </c>
      <c r="D18" s="4" t="s">
        <v>319</v>
      </c>
      <c r="E18" s="4" t="s">
        <v>320</v>
      </c>
      <c r="F18" s="4" t="s">
        <v>300</v>
      </c>
      <c r="G18" s="4" t="s">
        <v>333</v>
      </c>
      <c r="H18" s="4" t="s">
        <v>322</v>
      </c>
      <c r="I18" s="4" t="s">
        <v>334</v>
      </c>
    </row>
    <row r="19" ht="28.5" spans="1:9">
      <c r="A19" s="5">
        <v>16</v>
      </c>
      <c r="B19" s="5" t="s">
        <v>191</v>
      </c>
      <c r="C19" s="5" t="s">
        <v>335</v>
      </c>
      <c r="D19" s="5" t="s">
        <v>336</v>
      </c>
      <c r="E19" s="5" t="s">
        <v>290</v>
      </c>
      <c r="F19" s="5" t="s">
        <v>291</v>
      </c>
      <c r="G19" s="5" t="s">
        <v>180</v>
      </c>
      <c r="H19" s="5" t="s">
        <v>322</v>
      </c>
      <c r="I19" s="5" t="s">
        <v>337</v>
      </c>
    </row>
    <row r="20" spans="1:9">
      <c r="A20" s="4">
        <v>17</v>
      </c>
      <c r="B20" s="4" t="s">
        <v>180</v>
      </c>
      <c r="C20" s="4" t="s">
        <v>338</v>
      </c>
      <c r="D20" s="4" t="s">
        <v>290</v>
      </c>
      <c r="E20" s="4" t="s">
        <v>290</v>
      </c>
      <c r="F20" s="4" t="s">
        <v>291</v>
      </c>
      <c r="G20" s="4" t="s">
        <v>180</v>
      </c>
      <c r="H20" s="4" t="s">
        <v>292</v>
      </c>
      <c r="I20" s="4" t="s">
        <v>339</v>
      </c>
    </row>
    <row r="21" ht="28.5" spans="1:9">
      <c r="A21" s="5">
        <v>18</v>
      </c>
      <c r="B21" s="5" t="s">
        <v>21</v>
      </c>
      <c r="C21" s="5" t="s">
        <v>340</v>
      </c>
      <c r="D21" s="5" t="s">
        <v>290</v>
      </c>
      <c r="E21" s="5" t="s">
        <v>290</v>
      </c>
      <c r="F21" s="5" t="s">
        <v>291</v>
      </c>
      <c r="G21" s="5" t="s">
        <v>21</v>
      </c>
      <c r="H21" s="5" t="s">
        <v>341</v>
      </c>
      <c r="I21" s="5" t="s">
        <v>342</v>
      </c>
    </row>
    <row r="22" spans="1:9">
      <c r="A22" s="4">
        <v>19</v>
      </c>
      <c r="B22" s="4" t="s">
        <v>77</v>
      </c>
      <c r="C22" s="4" t="s">
        <v>343</v>
      </c>
      <c r="D22" s="4" t="s">
        <v>290</v>
      </c>
      <c r="E22" s="4" t="s">
        <v>290</v>
      </c>
      <c r="F22" s="4" t="s">
        <v>291</v>
      </c>
      <c r="G22" s="4" t="s">
        <v>77</v>
      </c>
      <c r="H22" s="4" t="s">
        <v>344</v>
      </c>
      <c r="I22" s="4" t="s">
        <v>345</v>
      </c>
    </row>
    <row r="23" spans="1:9">
      <c r="A23" s="5">
        <v>20</v>
      </c>
      <c r="B23" s="5" t="s">
        <v>152</v>
      </c>
      <c r="C23" s="5" t="s">
        <v>346</v>
      </c>
      <c r="D23" s="5" t="s">
        <v>329</v>
      </c>
      <c r="E23" s="5" t="s">
        <v>290</v>
      </c>
      <c r="F23" s="5" t="s">
        <v>291</v>
      </c>
      <c r="G23" s="5" t="s">
        <v>144</v>
      </c>
      <c r="H23" s="5" t="s">
        <v>292</v>
      </c>
      <c r="I23" s="5" t="s">
        <v>347</v>
      </c>
    </row>
    <row r="24" spans="1:9">
      <c r="A24" s="4">
        <v>21</v>
      </c>
      <c r="B24" s="4" t="s">
        <v>152</v>
      </c>
      <c r="C24" s="4" t="s">
        <v>348</v>
      </c>
      <c r="D24" s="4" t="s">
        <v>329</v>
      </c>
      <c r="E24" s="4" t="s">
        <v>290</v>
      </c>
      <c r="F24" s="4" t="s">
        <v>291</v>
      </c>
      <c r="G24" s="4" t="s">
        <v>144</v>
      </c>
      <c r="H24" s="4" t="s">
        <v>344</v>
      </c>
      <c r="I24" s="4" t="s">
        <v>349</v>
      </c>
    </row>
    <row r="25" spans="1:9">
      <c r="A25" s="5">
        <v>22</v>
      </c>
      <c r="B25" s="5" t="s">
        <v>56</v>
      </c>
      <c r="C25" s="5" t="s">
        <v>350</v>
      </c>
      <c r="D25" s="5" t="s">
        <v>290</v>
      </c>
      <c r="E25" s="5" t="s">
        <v>290</v>
      </c>
      <c r="F25" s="5" t="s">
        <v>291</v>
      </c>
      <c r="G25" s="5" t="s">
        <v>56</v>
      </c>
      <c r="H25" s="5" t="s">
        <v>344</v>
      </c>
      <c r="I25" s="5" t="s">
        <v>351</v>
      </c>
    </row>
    <row r="26" ht="28.5" spans="1:9">
      <c r="A26" s="4">
        <v>23</v>
      </c>
      <c r="B26" s="4" t="s">
        <v>98</v>
      </c>
      <c r="C26" s="4" t="s">
        <v>352</v>
      </c>
      <c r="D26" s="4" t="s">
        <v>290</v>
      </c>
      <c r="E26" s="4" t="s">
        <v>290</v>
      </c>
      <c r="F26" s="4" t="s">
        <v>291</v>
      </c>
      <c r="G26" s="4" t="s">
        <v>85</v>
      </c>
      <c r="H26" s="4" t="s">
        <v>322</v>
      </c>
      <c r="I26" s="4" t="s">
        <v>353</v>
      </c>
    </row>
    <row r="27" ht="28.5" spans="1:9">
      <c r="A27" s="5">
        <v>24</v>
      </c>
      <c r="B27" s="5" t="s">
        <v>160</v>
      </c>
      <c r="C27" s="5" t="s">
        <v>354</v>
      </c>
      <c r="D27" s="5" t="s">
        <v>355</v>
      </c>
      <c r="E27" s="5" t="s">
        <v>290</v>
      </c>
      <c r="F27" s="5" t="s">
        <v>291</v>
      </c>
      <c r="G27" s="5" t="s">
        <v>144</v>
      </c>
      <c r="H27" s="5" t="s">
        <v>344</v>
      </c>
      <c r="I27" s="5" t="s">
        <v>356</v>
      </c>
    </row>
    <row r="28" ht="28.5" spans="1:9">
      <c r="A28" s="4">
        <v>25</v>
      </c>
      <c r="B28" s="4" t="s">
        <v>357</v>
      </c>
      <c r="C28" s="4" t="s">
        <v>358</v>
      </c>
      <c r="D28" s="4" t="s">
        <v>319</v>
      </c>
      <c r="E28" s="4" t="s">
        <v>320</v>
      </c>
      <c r="F28" s="4" t="s">
        <v>300</v>
      </c>
      <c r="G28" s="4" t="s">
        <v>359</v>
      </c>
      <c r="H28" s="4" t="s">
        <v>360</v>
      </c>
      <c r="I28" s="4" t="s">
        <v>361</v>
      </c>
    </row>
    <row r="29" ht="28.5" spans="1:9">
      <c r="A29" s="5">
        <v>26</v>
      </c>
      <c r="B29" s="5" t="s">
        <v>176</v>
      </c>
      <c r="C29" s="5" t="s">
        <v>362</v>
      </c>
      <c r="D29" s="5" t="s">
        <v>290</v>
      </c>
      <c r="E29" s="5" t="s">
        <v>290</v>
      </c>
      <c r="F29" s="5" t="s">
        <v>291</v>
      </c>
      <c r="G29" s="5" t="s">
        <v>176</v>
      </c>
      <c r="H29" s="5" t="s">
        <v>322</v>
      </c>
      <c r="I29" s="5" t="s">
        <v>363</v>
      </c>
    </row>
    <row r="30" ht="28.5" spans="1:9">
      <c r="A30" s="4">
        <v>27</v>
      </c>
      <c r="B30" s="4" t="s">
        <v>180</v>
      </c>
      <c r="C30" s="4" t="s">
        <v>364</v>
      </c>
      <c r="D30" s="4" t="s">
        <v>336</v>
      </c>
      <c r="E30" s="4" t="s">
        <v>290</v>
      </c>
      <c r="F30" s="4" t="s">
        <v>291</v>
      </c>
      <c r="G30" s="4" t="s">
        <v>180</v>
      </c>
      <c r="H30" s="4" t="s">
        <v>344</v>
      </c>
      <c r="I30" s="4" t="s">
        <v>365</v>
      </c>
    </row>
    <row r="31" ht="28.5" spans="1:9">
      <c r="A31" s="5">
        <v>28</v>
      </c>
      <c r="B31" s="5" t="s">
        <v>32</v>
      </c>
      <c r="C31" s="5" t="s">
        <v>366</v>
      </c>
      <c r="D31" s="5" t="s">
        <v>298</v>
      </c>
      <c r="E31" s="5" t="s">
        <v>299</v>
      </c>
      <c r="F31" s="5" t="s">
        <v>300</v>
      </c>
      <c r="G31" s="5" t="s">
        <v>367</v>
      </c>
      <c r="H31" s="5" t="s">
        <v>344</v>
      </c>
      <c r="I31" s="5" t="s">
        <v>368</v>
      </c>
    </row>
    <row r="32" ht="28.5" spans="1:9">
      <c r="A32" s="4">
        <v>29</v>
      </c>
      <c r="B32" s="4" t="s">
        <v>176</v>
      </c>
      <c r="C32" s="4" t="s">
        <v>369</v>
      </c>
      <c r="D32" s="4" t="s">
        <v>319</v>
      </c>
      <c r="E32" s="4" t="s">
        <v>320</v>
      </c>
      <c r="F32" s="4" t="s">
        <v>300</v>
      </c>
      <c r="G32" s="4" t="s">
        <v>333</v>
      </c>
      <c r="H32" s="4" t="s">
        <v>322</v>
      </c>
      <c r="I32" s="4" t="s">
        <v>370</v>
      </c>
    </row>
    <row r="33" ht="28.5" spans="1:9">
      <c r="A33" s="5">
        <v>30</v>
      </c>
      <c r="B33" s="5" t="s">
        <v>371</v>
      </c>
      <c r="C33" s="5" t="s">
        <v>372</v>
      </c>
      <c r="D33" s="5" t="s">
        <v>319</v>
      </c>
      <c r="E33" s="5" t="s">
        <v>320</v>
      </c>
      <c r="F33" s="5" t="s">
        <v>300</v>
      </c>
      <c r="G33" s="5" t="s">
        <v>359</v>
      </c>
      <c r="H33" s="5" t="s">
        <v>322</v>
      </c>
      <c r="I33" s="5" t="s">
        <v>373</v>
      </c>
    </row>
    <row r="34" ht="28.5" spans="1:9">
      <c r="A34" s="4">
        <v>31</v>
      </c>
      <c r="B34" s="4" t="s">
        <v>123</v>
      </c>
      <c r="C34" s="4" t="s">
        <v>374</v>
      </c>
      <c r="D34" s="4" t="s">
        <v>290</v>
      </c>
      <c r="E34" s="4" t="s">
        <v>290</v>
      </c>
      <c r="F34" s="4" t="s">
        <v>291</v>
      </c>
      <c r="G34" s="4" t="s">
        <v>108</v>
      </c>
      <c r="H34" s="4" t="s">
        <v>344</v>
      </c>
      <c r="I34" s="4" t="s">
        <v>375</v>
      </c>
    </row>
    <row r="35" spans="1:9">
      <c r="A35" s="5">
        <v>32</v>
      </c>
      <c r="B35" s="5" t="s">
        <v>128</v>
      </c>
      <c r="C35" s="5" t="s">
        <v>376</v>
      </c>
      <c r="D35" s="5" t="s">
        <v>290</v>
      </c>
      <c r="E35" s="5" t="s">
        <v>290</v>
      </c>
      <c r="F35" s="5" t="s">
        <v>291</v>
      </c>
      <c r="G35" s="5" t="s">
        <v>108</v>
      </c>
      <c r="H35" s="5" t="s">
        <v>292</v>
      </c>
      <c r="I35" s="5" t="s">
        <v>377</v>
      </c>
    </row>
    <row r="36" ht="28.5" spans="1:9">
      <c r="A36" s="4">
        <v>33</v>
      </c>
      <c r="B36" s="4" t="s">
        <v>21</v>
      </c>
      <c r="C36" s="4" t="s">
        <v>378</v>
      </c>
      <c r="D36" s="4" t="s">
        <v>379</v>
      </c>
      <c r="E36" s="4" t="s">
        <v>299</v>
      </c>
      <c r="F36" s="4" t="s">
        <v>300</v>
      </c>
      <c r="G36" s="4" t="s">
        <v>380</v>
      </c>
      <c r="H36" s="4" t="s">
        <v>341</v>
      </c>
      <c r="I36" s="4" t="s">
        <v>381</v>
      </c>
    </row>
    <row r="37" ht="28.5" spans="1:9">
      <c r="A37" s="5">
        <v>34</v>
      </c>
      <c r="B37" s="5" t="s">
        <v>204</v>
      </c>
      <c r="C37" s="5" t="s">
        <v>382</v>
      </c>
      <c r="D37" s="5" t="s">
        <v>290</v>
      </c>
      <c r="E37" s="5" t="s">
        <v>290</v>
      </c>
      <c r="F37" s="5" t="s">
        <v>291</v>
      </c>
      <c r="G37" s="5" t="s">
        <v>180</v>
      </c>
      <c r="H37" s="5" t="s">
        <v>344</v>
      </c>
      <c r="I37" s="5" t="s">
        <v>383</v>
      </c>
    </row>
    <row r="38" ht="28.5" spans="1:9">
      <c r="A38" s="4">
        <v>35</v>
      </c>
      <c r="B38" s="4" t="s">
        <v>108</v>
      </c>
      <c r="C38" s="4" t="s">
        <v>384</v>
      </c>
      <c r="D38" s="4" t="s">
        <v>319</v>
      </c>
      <c r="E38" s="4" t="s">
        <v>320</v>
      </c>
      <c r="F38" s="4" t="s">
        <v>300</v>
      </c>
      <c r="G38" s="4" t="s">
        <v>321</v>
      </c>
      <c r="H38" s="4" t="s">
        <v>322</v>
      </c>
      <c r="I38" s="4" t="s">
        <v>385</v>
      </c>
    </row>
    <row r="39" ht="28.5" spans="1:9">
      <c r="A39" s="5">
        <v>36</v>
      </c>
      <c r="B39" s="5" t="s">
        <v>133</v>
      </c>
      <c r="C39" s="5" t="s">
        <v>386</v>
      </c>
      <c r="D39" s="5" t="s">
        <v>336</v>
      </c>
      <c r="E39" s="5" t="s">
        <v>290</v>
      </c>
      <c r="F39" s="5" t="s">
        <v>291</v>
      </c>
      <c r="G39" s="5" t="s">
        <v>108</v>
      </c>
      <c r="H39" s="5" t="s">
        <v>344</v>
      </c>
      <c r="I39" s="5" t="s">
        <v>387</v>
      </c>
    </row>
  </sheetData>
  <mergeCells count="2">
    <mergeCell ref="A1:I1"/>
    <mergeCell ref="A2:I2"/>
  </mergeCells>
  <conditionalFormatting sqref="E4:E39">
    <cfRule type="expression" dxfId="3" priority="1">
      <formula>E4="Core"</formula>
    </cfRule>
    <cfRule type="expression" dxfId="1" priority="2">
      <formula>E4="Useful"</formula>
    </cfRule>
    <cfRule type="expression" dxfId="5" priority="3">
      <formula>E4="Advanced/Optional"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 Schedule</vt:lpstr>
      <vt:lpstr>Dashboard</vt:lpstr>
      <vt:lpstr>Redo Rules</vt:lpstr>
      <vt:lpstr>Exercise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zhanwen.peng</cp:lastModifiedBy>
  <dcterms:created xsi:type="dcterms:W3CDTF">2026-09-07T01:34:00Z</dcterms:created>
  <dcterms:modified xsi:type="dcterms:W3CDTF">2026-09-07T08:27:45Z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