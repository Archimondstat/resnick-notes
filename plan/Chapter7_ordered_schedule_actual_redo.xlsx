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30" documentId="11_694932E1AE62AEE853A2737DE850B75DE210EBCF" xr6:coauthVersionLast="47" xr6:coauthVersionMax="47" xr10:uidLastSave="{E50DD782-8A86-432C-8A62-4815BCF539B2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O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B10" i="2" l="1"/>
</calcChain>
</file>

<file path=xl/sharedStrings.xml><?xml version="1.0" encoding="utf-8"?>
<sst xmlns="http://schemas.openxmlformats.org/spreadsheetml/2006/main" count="517" uniqueCount="269">
  <si>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</si>
  <si>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</si>
  <si>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</si>
  <si>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</si>
  <si>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</si>
  <si>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</si>
  <si>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</si>
  <si>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</si>
  <si>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</si>
  <si>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</si>
  <si>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</si>
  <si>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</si>
  <si>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</si>
  <si>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</si>
  <si>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</si>
  <si>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</si>
  <si>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</si>
  <si>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</si>
  <si>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</si>
  <si>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</si>
  <si>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</si>
  <si>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</si>
  <si>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</si>
  <si>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</si>
  <si>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</si>
  <si>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</si>
  <si>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</si>
  <si>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</si>
  <si>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</si>
  <si>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</si>
  <si>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</si>
  <si>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</si>
  <si>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</si>
  <si>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</si>
  <si>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</si>
  <si>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</si>
  <si>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</si>
  <si>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</si>
  <si>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</si>
  <si>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</si>
  <si>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</si>
  <si>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</si>
  <si>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</si>
  <si>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</si>
  <si>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</si>
  <si>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</si>
  <si>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</si>
  <si>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</si>
  <si>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</si>
  <si>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</si>
  <si>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</si>
  <si>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</si>
  <si>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</si>
  <si>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</si>
  <si>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</si>
  <si>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</si>
  <si>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</si>
  <si>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</si>
  <si>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</si>
  <si>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</si>
  <si>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</si>
  <si>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</si>
  <si>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</si>
  <si>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</si>
  <si>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</si>
  <si>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</si>
  <si>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</si>
  <si>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</si>
  <si>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</si>
  <si>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</si>
  <si>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</si>
  <si>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</si>
  <si>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</si>
  <si>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</si>
  <si>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</si>
  <si>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</si>
  <si>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</si>
  <si>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</si>
  <si>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</si>
  <si>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</si>
  <si>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</si>
  <si>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</si>
  <si>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</si>
  <si>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</si>
  <si>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</si>
  <si>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</si>
  <si>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</si>
  <si>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</si>
  <si>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</si>
  <si>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</si>
  <si>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</si>
  <si>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</si>
  <si>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</si>
  <si>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</si>
  <si>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</si>
  <si>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</si>
  <si>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</si>
  <si>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</si>
  <si>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</si>
  <si>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</si>
  <si>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</si>
  <si>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</si>
  <si>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</si>
  <si>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</si>
  <si>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</si>
  <si>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</si>
  <si>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</si>
  <si>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</si>
  <si>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</si>
  <si>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</si>
  <si>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</si>
  <si>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</si>
  <si>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</si>
  <si>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</si>
  <si>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</si>
  <si>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</si>
  <si>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</si>
  <si>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</si>
  <si>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</si>
  <si>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</si>
  <si>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</si>
  <si>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</si>
  <si>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</si>
  <si>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</si>
  <si>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</si>
  <si>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</si>
  <si>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</si>
  <si>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</si>
  <si>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</si>
  <si>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</si>
  <si>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</si>
  <si>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</si>
  <si>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</si>
  <si>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</si>
  <si>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</si>
  <si>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</si>
  <si>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</si>
  <si>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</si>
  <si>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</si>
  <si>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</si>
  <si>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</si>
  <si>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</si>
  <si>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</si>
  <si>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</si>
  <si>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</si>
  <si>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</si>
  <si>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</si>
  <si>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</si>
  <si>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</si>
  <si>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</si>
  <si>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</si>
  <si>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</si>
  <si>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</si>
  <si>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</si>
  <si>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</si>
  <si>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</si>
  <si>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</si>
  <si>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</si>
  <si>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</si>
  <si>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</si>
  <si>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</si>
  <si>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</si>
  <si>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</si>
  <si>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</si>
  <si>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</si>
  <si>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</si>
  <si>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</si>
  <si>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</si>
  <si>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</si>
  <si>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</si>
  <si>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</si>
  <si>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</si>
  <si>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</si>
  <si>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</si>
  <si>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</si>
  <si>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</si>
  <si>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</si>
  <si>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</si>
  <si>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</si>
  <si>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</si>
  <si>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</si>
  <si>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</si>
  <si>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</si>
  <si>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</si>
  <si>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</si>
  <si>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</si>
  <si>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</si>
  <si>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</si>
  <si>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</si>
  <si>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</si>
  <si>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</si>
  <si>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</si>
  <si>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</si>
  <si>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</si>
  <si>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</si>
  <si>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</si>
  <si>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</si>
  <si>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</si>
  <si>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</si>
  <si>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</si>
  <si>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</si>
  <si>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</si>
  <si>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</si>
  <si>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</si>
  <si>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</si>
  <si>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</si>
  <si>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</si>
  <si>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</si>
  <si>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</si>
  <si>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</si>
  <si>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</si>
  <si>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</si>
  <si>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</si>
  <si>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</si>
  <si>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</si>
  <si>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</si>
  <si>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</si>
  <si>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</si>
  <si>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</si>
  <si>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</si>
  <si>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</si>
  <si>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</si>
  <si>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</si>
  <si>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</si>
  <si>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</si>
  <si>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</si>
  <si>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</si>
  <si>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</si>
  <si>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</si>
  <si>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</si>
  <si>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</si>
  <si>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</si>
  <si>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</si>
  <si>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</si>
  <si>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</si>
  <si>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</si>
  <si>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</si>
  <si>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</si>
  <si>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</si>
  <si>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</si>
  <si>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</si>
  <si>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</si>
  <si>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</si>
  <si>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</si>
  <si>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</si>
  <si>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</si>
  <si>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</si>
  <si>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</si>
  <si>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</si>
  <si>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</si>
  <si>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</si>
  <si>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</si>
  <si>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</si>
  <si>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</si>
  <si>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</si>
  <si>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</si>
  <si>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</si>
  <si>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</si>
  <si>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</si>
  <si>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</si>
  <si>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</si>
  <si>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</si>
  <si>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</si>
  <si>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</si>
  <si>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</si>
  <si>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</si>
  <si>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</si>
  <si>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</si>
  <si>
    <t>Same as Ex 13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</si>
</sst>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C48" zoomScale="85" zoomScaleNormal="85" workbookViewId="0">
      <selection activeCell="P59" sqref="P59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>
        <f t="shared" si="1"/>
        <v>46235</v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>
        <v>46235</v>
      </c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>
        <v>46235</v>
      </c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>
        <v>46242</v>
      </c>
      <c r="L44" s="7">
        <f t="shared" si="1"/>
        <v>46244</v>
      </c>
      <c r="M44" s="6" t="s">
        <v>39</v>
      </c>
      <c r="N44" s="6"/>
      <c r="O44" s="7">
        <f>IF(AND($C44="Exercise",$K44&lt;&gt;"",$M44&lt;&gt;""),$K44+VLOOKUP($M44,'Redo Rules'!$A$2:$D$5,4,FALSE),"")</f>
        <v>46244</v>
      </c>
      <c r="P44" s="7">
        <v>46244</v>
      </c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>
        <v>46243</v>
      </c>
      <c r="L45" s="7">
        <f t="shared" si="1"/>
        <v>46245</v>
      </c>
      <c r="M45" s="6" t="s">
        <v>39</v>
      </c>
      <c r="N45" s="6"/>
      <c r="O45" s="7">
        <f>IF(AND($C45="Exercise",$K45&lt;&gt;"",$M45&lt;&gt;""),$K45+VLOOKUP($M45,'Redo Rules'!$A$2:$D$5,4,FALSE),"")</f>
        <v>46245</v>
      </c>
      <c r="P45" s="7">
        <v>46245</v>
      </c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>
        <v>46244</v>
      </c>
      <c r="L46" s="7">
        <f t="shared" si="1"/>
        <v>46246</v>
      </c>
      <c r="M46" s="6" t="s">
        <v>39</v>
      </c>
      <c r="N46" s="6"/>
      <c r="O46" s="7">
        <f>IF(AND($C46="Exercise",$K46&lt;&gt;"",$M46&lt;&gt;""),$K46+VLOOKUP($M46,'Redo Rules'!$A$2:$D$5,4,FALSE),"")</f>
        <v>46246</v>
      </c>
      <c r="P46" s="7">
        <v>46246</v>
      </c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>
        <v>46245</v>
      </c>
      <c r="L47" s="7">
        <f t="shared" si="1"/>
        <v>46247</v>
      </c>
      <c r="M47" s="6" t="s">
        <v>39</v>
      </c>
      <c r="N47" s="6"/>
      <c r="O47" s="7">
        <f>IF(AND($C47="Exercise",$K47&lt;&gt;"",$M47&lt;&gt;""),$K47+VLOOKUP($M47,'Redo Rules'!$A$2:$D$5,4,FALSE),"")</f>
        <v>46247</v>
      </c>
      <c r="P47" s="7">
        <v>46247</v>
      </c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>
        <v>46246</v>
      </c>
      <c r="L48" s="7">
        <f t="shared" si="1"/>
        <v>46248</v>
      </c>
      <c r="M48" s="6" t="s">
        <v>39</v>
      </c>
      <c r="N48" s="6"/>
      <c r="O48" s="7">
        <f>IF(AND($C48="Exercise",$K48&lt;&gt;"",$M48&lt;&gt;""),$K48+VLOOKUP($M48,'Redo Rules'!$A$2:$D$5,4,FALSE),"")</f>
        <v>46248</v>
      </c>
      <c r="P48" s="7">
        <v>46248</v>
      </c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>
        <v>46247</v>
      </c>
      <c r="L49" s="7">
        <f t="shared" si="1"/>
        <v>46249</v>
      </c>
      <c r="M49" s="6" t="s">
        <v>30</v>
      </c>
      <c r="N49" s="6"/>
      <c r="O49" s="7">
        <f>IF(AND($C49="Exercise",$K49&lt;&gt;"",$M49&lt;&gt;""),$K49+VLOOKUP($M49,'Redo Rules'!$A$2:$D$5,4,FALSE),"")</f>
        <v>46249</v>
      </c>
      <c r="P49" s="7">
        <v>46249</v>
      </c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>
        <v>46248</v>
      </c>
      <c r="L50" s="7">
        <f t="shared" si="1"/>
        <v>46250</v>
      </c>
      <c r="M50" s="6" t="s">
        <v>39</v>
      </c>
      <c r="N50" s="6"/>
      <c r="O50" s="7">
        <f>IF(AND($C50="Exercise",$K50&lt;&gt;"",$M50&lt;&gt;""),$K50+VLOOKUP($M50,'Redo Rules'!$A$2:$D$5,4,FALSE),"")</f>
        <v>46250</v>
      </c>
      <c r="P50" s="7">
        <v>46250</v>
      </c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>
        <v>46248</v>
      </c>
      <c r="L51" s="7">
        <f t="shared" si="1"/>
        <v>46250</v>
      </c>
      <c r="M51" s="6" t="s">
        <v>30</v>
      </c>
      <c r="N51" s="6"/>
      <c r="O51" s="7">
        <f>IF(AND($C51="Exercise",$K51&lt;&gt;"",$M51&lt;&gt;""),$K51+VLOOKUP($M51,'Redo Rules'!$A$2:$D$5,4,FALSE),"")</f>
        <v>46250</v>
      </c>
      <c r="P51" s="7">
        <v>46250</v>
      </c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>
        <v>46249</v>
      </c>
      <c r="L52" s="7">
        <f t="shared" si="1"/>
        <v>46253</v>
      </c>
      <c r="M52" s="6" t="s">
        <v>30</v>
      </c>
      <c r="N52" s="6"/>
      <c r="O52" s="7">
        <f>IF(AND($C52="Exercise",$K52&lt;&gt;"",$M52&lt;&gt;""),$K52+VLOOKUP($M52,'Redo Rules'!$A$2:$D$5,4,FALSE),"")</f>
        <v>46251</v>
      </c>
      <c r="P52" s="7">
        <v>46253</v>
      </c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>
        <v>46249</v>
      </c>
      <c r="L53" s="7">
        <f t="shared" si="1"/>
        <v>46253</v>
      </c>
      <c r="M53" s="6" t="s">
        <v>30</v>
      </c>
      <c r="N53" s="6"/>
      <c r="O53" s="7">
        <f>IF(AND($C53="Exercise",$K53&lt;&gt;"",$M53&lt;&gt;""),$K53+VLOOKUP($M53,'Redo Rules'!$A$2:$D$5,4,FALSE),"")</f>
        <v>46251</v>
      </c>
      <c r="P53" s="7">
        <v>46253</v>
      </c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>
        <v>46249</v>
      </c>
      <c r="L54" s="7">
        <f t="shared" si="1"/>
        <v>46253</v>
      </c>
      <c r="M54" s="6" t="s">
        <v>30</v>
      </c>
      <c r="N54" s="6"/>
      <c r="O54" s="7">
        <f>IF(AND($C54="Exercise",$K54&lt;&gt;"",$M54&lt;&gt;""),$K54+VLOOKUP($M54,'Redo Rules'!$A$2:$D$5,4,FALSE),"")</f>
        <v>46251</v>
      </c>
      <c r="P54" s="7">
        <v>46253</v>
      </c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 t="s">
        <v>268</v>
      </c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>
        <v>46250</v>
      </c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>
        <v>46250</v>
      </c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>
        <v>46251</v>
      </c>
      <c r="L58" s="7">
        <f t="shared" si="1"/>
        <v>46264</v>
      </c>
      <c r="M58" s="6" t="s">
        <v>39</v>
      </c>
      <c r="N58" s="6"/>
      <c r="O58" s="7">
        <f>IF(AND($C58="Exercise",$K58&lt;&gt;"",$M58&lt;&gt;""),$K58+VLOOKUP($M58,'Redo Rules'!$A$2:$D$5,4,FALSE),"")</f>
        <v>46253</v>
      </c>
      <c r="P58" s="7">
        <v>46264</v>
      </c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69930555555555596" right="0.69930555555555596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239</v>
      </c>
      <c r="B1" s="1"/>
    </row>
    <row r="2" spans="1:2" ht="27">
      <c r="A2" s="3" t="s">
        <v>240</v>
      </c>
      <c r="B2" s="3" t="s">
        <v>241</v>
      </c>
    </row>
    <row r="3" spans="1:2">
      <c r="A3" s="4"/>
      <c r="B3" s="4"/>
    </row>
    <row r="4" spans="1:2">
      <c r="A4" s="5" t="s">
        <v>242</v>
      </c>
      <c r="B4" s="4">
        <f>COUNTA('Master Schedule'!$A$2:$A$64)</f>
        <v>63</v>
      </c>
    </row>
    <row r="5" spans="1:2">
      <c r="A5" s="5" t="s">
        <v>243</v>
      </c>
      <c r="B5" s="4">
        <f>COUNTIF('Master Schedule'!$C$2:$C$64,"Read")</f>
        <v>10</v>
      </c>
    </row>
    <row r="6" spans="1:2">
      <c r="A6" s="5" t="s">
        <v>244</v>
      </c>
      <c r="B6" s="4">
        <f>COUNTIF('Master Schedule'!$C$2:$C$64,"Exercise")</f>
        <v>46</v>
      </c>
    </row>
    <row r="7" spans="1:2">
      <c r="A7" s="5" t="s">
        <v>245</v>
      </c>
      <c r="B7" s="4">
        <f>COUNTIF('Master Schedule'!$C$2:$C$64,"Gate")</f>
        <v>5</v>
      </c>
    </row>
    <row r="8" spans="1:2">
      <c r="A8" s="5" t="s">
        <v>246</v>
      </c>
      <c r="B8" s="4">
        <f>COUNTIF('Master Schedule'!$C$2:$C$64,"Summary")</f>
        <v>2</v>
      </c>
    </row>
    <row r="9" spans="1:2" ht="27">
      <c r="A9" s="5" t="s">
        <v>247</v>
      </c>
      <c r="B9" s="4">
        <f>COUNTIF('Master Schedule'!$P$2:$P$64,"&gt;0")</f>
        <v>39</v>
      </c>
    </row>
    <row r="10" spans="1:2" ht="27">
      <c r="A10" s="5" t="s">
        <v>248</v>
      </c>
      <c r="B10" s="4">
        <f ca="1">COUNTIFS('Master Schedule'!$O$2:$O$64,"&lt;="&amp;TODAY(),'Master Schedule'!$O$2:$O$64,"&gt;0",'Master Schedule'!$Q$2:$Q$64,"&lt;&gt;Y")</f>
        <v>40</v>
      </c>
    </row>
    <row r="11" spans="1:2">
      <c r="A11" s="4"/>
      <c r="B11" s="4"/>
    </row>
    <row r="12" spans="1:2">
      <c r="A12" s="5" t="s">
        <v>249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8</v>
      </c>
    </row>
    <row r="14" spans="1:2">
      <c r="A14" s="5" t="s">
        <v>39</v>
      </c>
      <c r="B14" s="4">
        <f>COUNTIF('Master Schedule'!$M$2:$M$64,"Skeleton")</f>
        <v>20</v>
      </c>
    </row>
    <row r="15" spans="1:2">
      <c r="A15" s="5" t="s">
        <v>30</v>
      </c>
      <c r="B15" s="4">
        <f>COUNTIF('Master Schedule'!$M$2:$M$64,"Crack it")</f>
        <v>13</v>
      </c>
    </row>
    <row r="16" spans="1:2">
      <c r="A16" s="4"/>
      <c r="B16" s="4"/>
    </row>
    <row r="17" spans="1:2" ht="27">
      <c r="A17" s="5" t="s">
        <v>250</v>
      </c>
      <c r="B17" s="4" t="s">
        <v>251</v>
      </c>
    </row>
    <row r="18" spans="1:2">
      <c r="A18" s="5" t="s">
        <v>252</v>
      </c>
      <c r="B18" s="4" t="s">
        <v>253</v>
      </c>
    </row>
  </sheetData>
  <phoneticPr fontId="4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4">
      <c r="A6" t="s">
        <v>265</v>
      </c>
      <c r="B6" t="s">
        <v>266</v>
      </c>
      <c r="C6" t="s">
        <v>267</v>
      </c>
    </row>
  </sheetData>
  <phoneticPr fontId="4" type="noConversion"/>
  <pageMargins left="0.69930555555555596" right="0.69930555555555596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2026-08-30T03:09:39Z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