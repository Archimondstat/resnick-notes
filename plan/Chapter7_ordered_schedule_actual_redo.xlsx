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9" documentId="14_{58114150-BD7F-4246-9469-DE5FA7D62A2A}" xr6:coauthVersionLast="47" xr6:coauthVersionMax="47" xr10:uidLastSave="{314821D1-A16E-49A6-9BF3-7E6E9A5F809A}"/>
  <bookViews>
    <workbookView xWindow="1620" yWindow="3015" windowWidth="25245" windowHeight="1129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O11" i="1"/>
  <c r="O10" i="1"/>
  <c r="B10" i="2" s="1"/>
  <c r="B15" i="2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1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<sst xmlns="http://schemas.openxmlformats.org/spreadsheetml/2006/main" count="481" uniqueCount="266">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</sst>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F5" workbookViewId="0">
      <selection activeCell="K13" sqref="K13:L13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6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>IF($P12&lt;&gt;"",$P12,"")</f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/>
      <c r="L14" s="7" t="str">
        <f t="shared" si="0"/>
        <v/>
      </c>
      <c r="M14" s="6"/>
      <c r="N14" s="6"/>
      <c r="O14" s="7" t="str">
        <f>IF(AND($C14="Exercise",$K14&lt;&gt;"",$M14&lt;&gt;""),$K14+VLOOKUP($M14,'Redo Rules'!$A$2:$D$5,4,FALSE),"")</f>
        <v/>
      </c>
      <c r="P14" s="7"/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/>
      <c r="L15" s="7" t="str">
        <f t="shared" si="0"/>
        <v/>
      </c>
      <c r="M15" s="6"/>
      <c r="N15" s="6"/>
      <c r="O15" s="7" t="str">
        <f>IF(AND($C15="Exercise",$K15&lt;&gt;"",$M15&lt;&gt;""),$K15+VLOOKUP($M15,'Redo Rules'!$A$2:$D$5,4,FALSE),"")</f>
        <v/>
      </c>
      <c r="P15" s="7"/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/>
      <c r="L16" s="7" t="str">
        <f t="shared" si="0"/>
        <v/>
      </c>
      <c r="M16" s="6"/>
      <c r="N16" s="6"/>
      <c r="O16" s="7" t="str">
        <f>IF(AND($C16="Exercise",$K16&lt;&gt;"",$M16&lt;&gt;""),$K16+VLOOKUP($M16,'Redo Rules'!$A$2:$D$5,4,FALSE),"")</f>
        <v/>
      </c>
      <c r="P16" s="7"/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/>
      <c r="L17" s="7" t="str">
        <f t="shared" si="0"/>
        <v/>
      </c>
      <c r="M17" s="6"/>
      <c r="N17" s="6"/>
      <c r="O17" s="7" t="str">
        <f>IF(AND($C17="Exercise",$K17&lt;&gt;"",$M17&lt;&gt;""),$K17+VLOOKUP($M17,'Redo Rules'!$A$2:$D$5,4,FALSE),"")</f>
        <v/>
      </c>
      <c r="P17" s="7"/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/>
      <c r="L18" s="7" t="str">
        <f t="shared" si="0"/>
        <v/>
      </c>
      <c r="M18" s="6"/>
      <c r="N18" s="6"/>
      <c r="O18" s="7" t="str">
        <f>IF(AND($C18="Exercise",$K18&lt;&gt;"",$M18&lt;&gt;""),$K18+VLOOKUP($M18,'Redo Rules'!$A$2:$D$5,4,FALSE),"")</f>
        <v/>
      </c>
      <c r="P18" s="7"/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88</v>
      </c>
      <c r="G19" s="6" t="s">
        <v>89</v>
      </c>
      <c r="H19" s="6" t="s">
        <v>74</v>
      </c>
      <c r="I19" s="6" t="s">
        <v>90</v>
      </c>
      <c r="J19" s="6"/>
      <c r="K19" s="7"/>
      <c r="L19" s="7" t="str">
        <f t="shared" si="0"/>
        <v/>
      </c>
      <c r="M19" s="6"/>
      <c r="N19" s="6"/>
      <c r="O19" s="7" t="str">
        <f>IF(AND($C19="Exercise",$K19&lt;&gt;"",$M19&lt;&gt;""),$K19+VLOOKUP($M19,'Redo Rules'!$A$2:$D$5,4,FALSE),"")</f>
        <v/>
      </c>
      <c r="P19" s="7"/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91</v>
      </c>
      <c r="G20" s="6" t="s">
        <v>92</v>
      </c>
      <c r="H20" s="6" t="s">
        <v>93</v>
      </c>
      <c r="I20" s="6" t="s">
        <v>94</v>
      </c>
      <c r="J20" s="6"/>
      <c r="K20" s="7"/>
      <c r="L20" s="7" t="str">
        <f t="shared" si="0"/>
        <v/>
      </c>
      <c r="M20" s="6"/>
      <c r="N20" s="6"/>
      <c r="O20" s="7" t="str">
        <f>IF(AND($C20="Exercise",$K20&lt;&gt;"",$M20&lt;&gt;""),$K20+VLOOKUP($M20,'Redo Rules'!$A$2:$D$5,4,FALSE),"")</f>
        <v/>
      </c>
      <c r="P20" s="7"/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95</v>
      </c>
      <c r="G21" s="6"/>
      <c r="H21" s="6" t="s">
        <v>96</v>
      </c>
      <c r="I21" s="6" t="s">
        <v>97</v>
      </c>
      <c r="J21" s="6" t="s">
        <v>98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99</v>
      </c>
      <c r="E22" s="6" t="s">
        <v>36</v>
      </c>
      <c r="F22" s="6" t="s">
        <v>100</v>
      </c>
      <c r="G22" s="6"/>
      <c r="H22" s="6"/>
      <c r="I22" s="6" t="s">
        <v>101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99</v>
      </c>
      <c r="E23" s="6" t="s">
        <v>102</v>
      </c>
      <c r="F23" s="6" t="s">
        <v>103</v>
      </c>
      <c r="G23" s="6"/>
      <c r="H23" s="6"/>
      <c r="I23" s="6" t="s">
        <v>104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99</v>
      </c>
      <c r="E24" s="6" t="s">
        <v>36</v>
      </c>
      <c r="F24" s="6" t="s">
        <v>105</v>
      </c>
      <c r="G24" s="6" t="s">
        <v>106</v>
      </c>
      <c r="H24" s="6" t="s">
        <v>107</v>
      </c>
      <c r="I24" s="6" t="s">
        <v>104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99</v>
      </c>
      <c r="E25" s="6" t="s">
        <v>36</v>
      </c>
      <c r="F25" s="6" t="s">
        <v>108</v>
      </c>
      <c r="G25" s="6" t="s">
        <v>109</v>
      </c>
      <c r="H25" s="6" t="s">
        <v>110</v>
      </c>
      <c r="I25" s="6" t="s">
        <v>111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99</v>
      </c>
      <c r="E26" s="6" t="s">
        <v>36</v>
      </c>
      <c r="F26" s="6" t="s">
        <v>112</v>
      </c>
      <c r="G26" s="6" t="s">
        <v>113</v>
      </c>
      <c r="H26" s="6" t="s">
        <v>114</v>
      </c>
      <c r="I26" s="6" t="s">
        <v>115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99</v>
      </c>
      <c r="E27" s="6" t="s">
        <v>36</v>
      </c>
      <c r="F27" s="6" t="s">
        <v>116</v>
      </c>
      <c r="G27" s="6" t="s">
        <v>117</v>
      </c>
      <c r="H27" s="6" t="s">
        <v>118</v>
      </c>
      <c r="I27" s="6" t="s">
        <v>119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99</v>
      </c>
      <c r="E28" s="6" t="s">
        <v>36</v>
      </c>
      <c r="F28" s="6" t="s">
        <v>120</v>
      </c>
      <c r="G28" s="6"/>
      <c r="H28" s="6" t="s">
        <v>121</v>
      </c>
      <c r="I28" s="6" t="s">
        <v>122</v>
      </c>
      <c r="J28" s="6" t="s">
        <v>123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124</v>
      </c>
      <c r="E29" s="6" t="s">
        <v>73</v>
      </c>
      <c r="F29" s="6" t="s">
        <v>125</v>
      </c>
      <c r="G29" s="6"/>
      <c r="H29" s="6"/>
      <c r="I29" s="6" t="s">
        <v>126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124</v>
      </c>
      <c r="E30" s="6" t="s">
        <v>127</v>
      </c>
      <c r="F30" s="6" t="s">
        <v>128</v>
      </c>
      <c r="G30" s="6"/>
      <c r="H30" s="6"/>
      <c r="I30" s="6" t="s">
        <v>129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124</v>
      </c>
      <c r="E31" s="6" t="s">
        <v>130</v>
      </c>
      <c r="F31" s="6" t="s">
        <v>131</v>
      </c>
      <c r="G31" s="6" t="s">
        <v>132</v>
      </c>
      <c r="H31" s="6" t="s">
        <v>133</v>
      </c>
      <c r="I31" s="6" t="s">
        <v>134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124</v>
      </c>
      <c r="E32" s="6" t="s">
        <v>130</v>
      </c>
      <c r="F32" s="6" t="s">
        <v>135</v>
      </c>
      <c r="G32" s="6" t="s">
        <v>136</v>
      </c>
      <c r="H32" s="6" t="s">
        <v>137</v>
      </c>
      <c r="I32" s="6" t="s">
        <v>134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124</v>
      </c>
      <c r="E33" s="6" t="s">
        <v>130</v>
      </c>
      <c r="F33" s="6" t="s">
        <v>138</v>
      </c>
      <c r="G33" s="6" t="s">
        <v>139</v>
      </c>
      <c r="H33" s="6" t="s">
        <v>140</v>
      </c>
      <c r="I33" s="6" t="s">
        <v>134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124</v>
      </c>
      <c r="E34" s="6" t="s">
        <v>130</v>
      </c>
      <c r="F34" s="6" t="s">
        <v>141</v>
      </c>
      <c r="G34" s="6" t="s">
        <v>142</v>
      </c>
      <c r="H34" s="6" t="s">
        <v>143</v>
      </c>
      <c r="I34" s="6" t="s">
        <v>134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124</v>
      </c>
      <c r="E35" s="6" t="s">
        <v>130</v>
      </c>
      <c r="F35" s="6" t="s">
        <v>144</v>
      </c>
      <c r="G35" s="6" t="s">
        <v>145</v>
      </c>
      <c r="H35" s="6" t="s">
        <v>146</v>
      </c>
      <c r="I35" s="6" t="s">
        <v>134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124</v>
      </c>
      <c r="E36" s="6" t="s">
        <v>130</v>
      </c>
      <c r="F36" s="6" t="s">
        <v>147</v>
      </c>
      <c r="G36" s="6" t="s">
        <v>148</v>
      </c>
      <c r="H36" s="6" t="s">
        <v>149</v>
      </c>
      <c r="I36" s="6" t="s">
        <v>134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124</v>
      </c>
      <c r="E37" s="6" t="s">
        <v>130</v>
      </c>
      <c r="F37" s="6" t="s">
        <v>150</v>
      </c>
      <c r="G37" s="6" t="s">
        <v>151</v>
      </c>
      <c r="H37" s="6" t="s">
        <v>152</v>
      </c>
      <c r="I37" s="6" t="s">
        <v>134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124</v>
      </c>
      <c r="E38" s="6" t="s">
        <v>130</v>
      </c>
      <c r="F38" s="6" t="s">
        <v>153</v>
      </c>
      <c r="G38" s="6" t="s">
        <v>154</v>
      </c>
      <c r="H38" s="6" t="s">
        <v>146</v>
      </c>
      <c r="I38" s="6" t="s">
        <v>134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124</v>
      </c>
      <c r="E39" s="6" t="s">
        <v>130</v>
      </c>
      <c r="F39" s="6" t="s">
        <v>155</v>
      </c>
      <c r="G39" s="6" t="s">
        <v>156</v>
      </c>
      <c r="H39" s="6" t="s">
        <v>157</v>
      </c>
      <c r="I39" s="6" t="s">
        <v>134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124</v>
      </c>
      <c r="E40" s="6" t="s">
        <v>130</v>
      </c>
      <c r="F40" s="6" t="s">
        <v>158</v>
      </c>
      <c r="G40" s="6" t="s">
        <v>159</v>
      </c>
      <c r="H40" s="6" t="s">
        <v>160</v>
      </c>
      <c r="I40" s="6" t="s">
        <v>134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124</v>
      </c>
      <c r="E41" s="6" t="s">
        <v>130</v>
      </c>
      <c r="F41" s="6" t="s">
        <v>161</v>
      </c>
      <c r="G41" s="6"/>
      <c r="H41" s="6" t="s">
        <v>162</v>
      </c>
      <c r="I41" s="6" t="s">
        <v>163</v>
      </c>
      <c r="J41" s="6" t="s">
        <v>164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165</v>
      </c>
      <c r="E42" s="6" t="s">
        <v>166</v>
      </c>
      <c r="F42" s="6" t="s">
        <v>167</v>
      </c>
      <c r="G42" s="6"/>
      <c r="H42" s="6"/>
      <c r="I42" s="6" t="s">
        <v>168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165</v>
      </c>
      <c r="E43" s="6" t="s">
        <v>169</v>
      </c>
      <c r="F43" s="6" t="s">
        <v>170</v>
      </c>
      <c r="G43" s="6"/>
      <c r="H43" s="6"/>
      <c r="I43" s="6" t="s">
        <v>171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165</v>
      </c>
      <c r="E44" s="6" t="s">
        <v>172</v>
      </c>
      <c r="F44" s="6" t="s">
        <v>173</v>
      </c>
      <c r="G44" s="6" t="s">
        <v>166</v>
      </c>
      <c r="H44" s="6" t="s">
        <v>174</v>
      </c>
      <c r="I44" s="6" t="s">
        <v>175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165</v>
      </c>
      <c r="E45" s="6" t="s">
        <v>172</v>
      </c>
      <c r="F45" s="6" t="s">
        <v>176</v>
      </c>
      <c r="G45" s="6" t="s">
        <v>177</v>
      </c>
      <c r="H45" s="6" t="s">
        <v>178</v>
      </c>
      <c r="I45" s="6" t="s">
        <v>175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165</v>
      </c>
      <c r="E46" s="6" t="s">
        <v>172</v>
      </c>
      <c r="F46" s="6" t="s">
        <v>179</v>
      </c>
      <c r="G46" s="6" t="s">
        <v>180</v>
      </c>
      <c r="H46" s="6" t="s">
        <v>174</v>
      </c>
      <c r="I46" s="6" t="s">
        <v>175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165</v>
      </c>
      <c r="E47" s="6" t="s">
        <v>172</v>
      </c>
      <c r="F47" s="6" t="s">
        <v>181</v>
      </c>
      <c r="G47" s="6" t="s">
        <v>182</v>
      </c>
      <c r="H47" s="6" t="s">
        <v>183</v>
      </c>
      <c r="I47" s="6" t="s">
        <v>175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165</v>
      </c>
      <c r="E48" s="6" t="s">
        <v>172</v>
      </c>
      <c r="F48" s="6" t="s">
        <v>184</v>
      </c>
      <c r="G48" s="6" t="s">
        <v>185</v>
      </c>
      <c r="H48" s="6" t="s">
        <v>186</v>
      </c>
      <c r="I48" s="6" t="s">
        <v>175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165</v>
      </c>
      <c r="E49" s="6" t="s">
        <v>172</v>
      </c>
      <c r="F49" s="6" t="s">
        <v>187</v>
      </c>
      <c r="G49" s="6" t="s">
        <v>188</v>
      </c>
      <c r="H49" s="6" t="s">
        <v>189</v>
      </c>
      <c r="I49" s="6" t="s">
        <v>175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165</v>
      </c>
      <c r="E50" s="6" t="s">
        <v>172</v>
      </c>
      <c r="F50" s="6" t="s">
        <v>190</v>
      </c>
      <c r="G50" s="6" t="s">
        <v>191</v>
      </c>
      <c r="H50" s="6" t="s">
        <v>192</v>
      </c>
      <c r="I50" s="6" t="s">
        <v>175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165</v>
      </c>
      <c r="E51" s="6" t="s">
        <v>172</v>
      </c>
      <c r="F51" s="6" t="s">
        <v>193</v>
      </c>
      <c r="G51" s="6" t="s">
        <v>194</v>
      </c>
      <c r="H51" s="6" t="s">
        <v>195</v>
      </c>
      <c r="I51" s="6" t="s">
        <v>175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165</v>
      </c>
      <c r="E52" s="6" t="s">
        <v>172</v>
      </c>
      <c r="F52" s="6" t="s">
        <v>196</v>
      </c>
      <c r="G52" s="6" t="s">
        <v>197</v>
      </c>
      <c r="H52" s="6" t="s">
        <v>198</v>
      </c>
      <c r="I52" s="6" t="s">
        <v>175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165</v>
      </c>
      <c r="E53" s="6" t="s">
        <v>172</v>
      </c>
      <c r="F53" s="6" t="s">
        <v>199</v>
      </c>
      <c r="G53" s="6" t="s">
        <v>200</v>
      </c>
      <c r="H53" s="6" t="s">
        <v>174</v>
      </c>
      <c r="I53" s="6" t="s">
        <v>175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165</v>
      </c>
      <c r="E54" s="6" t="s">
        <v>172</v>
      </c>
      <c r="F54" s="6" t="s">
        <v>201</v>
      </c>
      <c r="G54" s="6" t="s">
        <v>202</v>
      </c>
      <c r="H54" s="6" t="s">
        <v>192</v>
      </c>
      <c r="I54" s="6" t="s">
        <v>175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165</v>
      </c>
      <c r="E55" s="6" t="s">
        <v>172</v>
      </c>
      <c r="F55" s="6" t="s">
        <v>203</v>
      </c>
      <c r="G55" s="6" t="s">
        <v>204</v>
      </c>
      <c r="H55" s="6" t="s">
        <v>174</v>
      </c>
      <c r="I55" s="6" t="s">
        <v>175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165</v>
      </c>
      <c r="E56" s="6" t="s">
        <v>172</v>
      </c>
      <c r="F56" s="6" t="s">
        <v>205</v>
      </c>
      <c r="G56" s="6"/>
      <c r="H56" s="6" t="s">
        <v>206</v>
      </c>
      <c r="I56" s="6" t="s">
        <v>207</v>
      </c>
      <c r="J56" s="6" t="s">
        <v>208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209</v>
      </c>
      <c r="E57" s="6" t="s">
        <v>210</v>
      </c>
      <c r="F57" s="6" t="s">
        <v>211</v>
      </c>
      <c r="G57" s="6"/>
      <c r="H57" s="6"/>
      <c r="I57" s="6" t="s">
        <v>212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209</v>
      </c>
      <c r="E58" s="6" t="s">
        <v>213</v>
      </c>
      <c r="F58" s="6" t="s">
        <v>214</v>
      </c>
      <c r="G58" s="6" t="s">
        <v>215</v>
      </c>
      <c r="H58" s="6" t="s">
        <v>216</v>
      </c>
      <c r="I58" s="6" t="s">
        <v>217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209</v>
      </c>
      <c r="E59" s="6" t="s">
        <v>213</v>
      </c>
      <c r="F59" s="6" t="s">
        <v>218</v>
      </c>
      <c r="G59" s="6" t="s">
        <v>219</v>
      </c>
      <c r="H59" s="6" t="s">
        <v>220</v>
      </c>
      <c r="I59" s="6" t="s">
        <v>217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209</v>
      </c>
      <c r="E60" s="6" t="s">
        <v>213</v>
      </c>
      <c r="F60" s="6" t="s">
        <v>221</v>
      </c>
      <c r="G60" s="6" t="s">
        <v>222</v>
      </c>
      <c r="H60" s="6" t="s">
        <v>223</v>
      </c>
      <c r="I60" s="6" t="s">
        <v>217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209</v>
      </c>
      <c r="E61" s="6" t="s">
        <v>213</v>
      </c>
      <c r="F61" s="6" t="s">
        <v>224</v>
      </c>
      <c r="G61" s="6" t="s">
        <v>225</v>
      </c>
      <c r="H61" s="6" t="s">
        <v>226</v>
      </c>
      <c r="I61" s="6" t="s">
        <v>217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209</v>
      </c>
      <c r="E62" s="6" t="s">
        <v>213</v>
      </c>
      <c r="F62" s="6" t="s">
        <v>227</v>
      </c>
      <c r="G62" s="6" t="s">
        <v>228</v>
      </c>
      <c r="H62" s="6" t="s">
        <v>229</v>
      </c>
      <c r="I62" s="6" t="s">
        <v>217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230</v>
      </c>
      <c r="D63" s="6" t="s">
        <v>231</v>
      </c>
      <c r="E63" s="6" t="s">
        <v>232</v>
      </c>
      <c r="F63" s="6" t="s">
        <v>233</v>
      </c>
      <c r="G63" s="6"/>
      <c r="H63" s="6"/>
      <c r="I63" s="6" t="s">
        <v>234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230</v>
      </c>
      <c r="D64" s="6" t="s">
        <v>231</v>
      </c>
      <c r="E64" s="6" t="s">
        <v>232</v>
      </c>
      <c r="F64" s="6" t="s">
        <v>235</v>
      </c>
      <c r="G64" s="6"/>
      <c r="H64" s="6"/>
      <c r="I64" s="6" t="s">
        <v>236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237</v>
      </c>
      <c r="B1" s="1"/>
    </row>
    <row r="2" spans="1:2" ht="27">
      <c r="A2" s="3" t="s">
        <v>238</v>
      </c>
      <c r="B2" s="3" t="s">
        <v>239</v>
      </c>
    </row>
    <row r="3" spans="1:2">
      <c r="A3" s="4"/>
      <c r="B3" s="4"/>
    </row>
    <row r="4" spans="1:2">
      <c r="A4" s="5" t="s">
        <v>240</v>
      </c>
      <c r="B4" s="4">
        <f>COUNTA('Master Schedule'!$A$2:$A$64)</f>
        <v>63</v>
      </c>
    </row>
    <row r="5" spans="1:2">
      <c r="A5" s="5" t="s">
        <v>241</v>
      </c>
      <c r="B5" s="4">
        <f>COUNTIF('Master Schedule'!$C$2:$C$64,"Read")</f>
        <v>10</v>
      </c>
    </row>
    <row r="6" spans="1:2">
      <c r="A6" s="5" t="s">
        <v>242</v>
      </c>
      <c r="B6" s="4">
        <f>COUNTIF('Master Schedule'!$C$2:$C$64,"Exercise")</f>
        <v>46</v>
      </c>
    </row>
    <row r="7" spans="1:2">
      <c r="A7" s="5" t="s">
        <v>243</v>
      </c>
      <c r="B7" s="4">
        <f>COUNTIF('Master Schedule'!$C$2:$C$64,"Gate")</f>
        <v>5</v>
      </c>
    </row>
    <row r="8" spans="1:2">
      <c r="A8" s="5" t="s">
        <v>244</v>
      </c>
      <c r="B8" s="4">
        <f>COUNTIF('Master Schedule'!$C$2:$C$64,"Summary")</f>
        <v>2</v>
      </c>
    </row>
    <row r="9" spans="1:2" ht="27">
      <c r="A9" s="5" t="s">
        <v>245</v>
      </c>
      <c r="B9" s="4">
        <f>COUNTIF('Master Schedule'!$P$2:$P$64,"&gt;0")</f>
        <v>8</v>
      </c>
    </row>
    <row r="10" spans="1:2" ht="27">
      <c r="A10" s="5" t="s">
        <v>246</v>
      </c>
      <c r="B10" s="4">
        <f ca="1">COUNTIFS('Master Schedule'!$O$2:$O$64,"&lt;="&amp;TODAY(),'Master Schedule'!$O$2:$O$64,"&gt;0",'Master Schedule'!$Q$2:$Q$64,"&lt;&gt;Y")</f>
        <v>7</v>
      </c>
    </row>
    <row r="11" spans="1:2">
      <c r="A11" s="4"/>
      <c r="B11" s="4"/>
    </row>
    <row r="12" spans="1:2">
      <c r="A12" s="5" t="s">
        <v>247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1</v>
      </c>
    </row>
    <row r="14" spans="1:2">
      <c r="A14" s="5" t="s">
        <v>39</v>
      </c>
      <c r="B14" s="4">
        <f>COUNTIF('Master Schedule'!$M$2:$M$64,"Skeleton")</f>
        <v>5</v>
      </c>
    </row>
    <row r="15" spans="1:2">
      <c r="A15" s="5" t="s">
        <v>30</v>
      </c>
      <c r="B15" s="4">
        <f>COUNTIF('Master Schedule'!$M$2:$M$64,"Crack it")</f>
        <v>2</v>
      </c>
    </row>
    <row r="16" spans="1:2">
      <c r="A16" s="4"/>
      <c r="B16" s="4"/>
    </row>
    <row r="17" spans="1:2" ht="27">
      <c r="A17" s="5" t="s">
        <v>248</v>
      </c>
      <c r="B17" s="4" t="s">
        <v>249</v>
      </c>
    </row>
    <row r="18" spans="1:2">
      <c r="A18" s="5" t="s">
        <v>250</v>
      </c>
      <c r="B18" s="4" t="s">
        <v>251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252</v>
      </c>
      <c r="C1" s="1" t="s">
        <v>253</v>
      </c>
      <c r="D1" s="1" t="s">
        <v>254</v>
      </c>
    </row>
    <row r="2" spans="1:4">
      <c r="A2" t="s">
        <v>247</v>
      </c>
      <c r="B2" t="s">
        <v>255</v>
      </c>
      <c r="C2" t="s">
        <v>256</v>
      </c>
      <c r="D2" s="2">
        <v>1</v>
      </c>
    </row>
    <row r="3" spans="1:4">
      <c r="A3" t="s">
        <v>55</v>
      </c>
      <c r="B3" t="s">
        <v>257</v>
      </c>
      <c r="C3" t="s">
        <v>258</v>
      </c>
      <c r="D3" s="2">
        <v>2</v>
      </c>
    </row>
    <row r="4" spans="1:4">
      <c r="A4" t="s">
        <v>39</v>
      </c>
      <c r="B4" t="s">
        <v>259</v>
      </c>
      <c r="C4" t="s">
        <v>260</v>
      </c>
      <c r="D4" s="2">
        <v>2</v>
      </c>
    </row>
    <row r="5" spans="1:4">
      <c r="A5" t="s">
        <v>30</v>
      </c>
      <c r="B5" t="s">
        <v>261</v>
      </c>
      <c r="C5" t="s">
        <v>262</v>
      </c>
      <c r="D5" s="2">
        <v>2</v>
      </c>
    </row>
    <row r="6" spans="1:4">
      <c r="A6" t="s">
        <v>263</v>
      </c>
      <c r="B6" t="s">
        <v>264</v>
      </c>
      <c r="C6" t="s">
        <v>265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2026-06-22T12:45:08Z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