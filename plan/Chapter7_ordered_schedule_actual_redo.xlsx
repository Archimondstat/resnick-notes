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<sst xmlns="http://schemas.openxmlformats.org/spreadsheetml/2006/main" count="492" uniqueCount="267">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</sst>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176" formatCode="yyyy\-mm\-dd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" fillId="0" borderId="0" applyFon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3" fillId="18" borderId="1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7" borderId="5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7" fillId="6" borderId="1" applyNumberFormat="0" applyAlignment="0" applyProtection="0">
      <alignment vertical="center"/>
    </xf>
    <xf numFmtId="0" fontId="12" fillId="17" borderId="2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topLeftCell="G21" workbookViewId="0">
      <selection activeCell="M26" sqref="M26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 t="str">
        <f t="shared" si="0"/>
        <v/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/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 t="str">
        <f t="shared" si="0"/>
        <v/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/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 t="str">
        <f t="shared" si="0"/>
        <v/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/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 t="str">
        <f t="shared" si="0"/>
        <v/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/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238</v>
      </c>
      <c r="B1" s="1"/>
    </row>
    <row r="2" ht="28.5" spans="1:2">
      <c r="A2" s="3" t="s">
        <v>239</v>
      </c>
      <c r="B2" s="3" t="s">
        <v>240</v>
      </c>
    </row>
    <row r="3" spans="1:2">
      <c r="A3" s="4"/>
      <c r="B3" s="4"/>
    </row>
    <row r="4" ht="15" spans="1:2">
      <c r="A4" s="5" t="s">
        <v>241</v>
      </c>
      <c r="B4" s="4">
        <f>COUNTA('Master Schedule'!$A$2:$A$64)</f>
        <v>63</v>
      </c>
    </row>
    <row r="5" ht="15" spans="1:2">
      <c r="A5" s="5" t="s">
        <v>242</v>
      </c>
      <c r="B5" s="4">
        <f>COUNTIF('Master Schedule'!$C$2:$C$64,"Read")</f>
        <v>10</v>
      </c>
    </row>
    <row r="6" ht="15" spans="1:2">
      <c r="A6" s="5" t="s">
        <v>243</v>
      </c>
      <c r="B6" s="4">
        <f>COUNTIF('Master Schedule'!$C$2:$C$64,"Exercise")</f>
        <v>46</v>
      </c>
    </row>
    <row r="7" ht="15" spans="1:2">
      <c r="A7" s="5" t="s">
        <v>244</v>
      </c>
      <c r="B7" s="4">
        <f>COUNTIF('Master Schedule'!$C$2:$C$64,"Gate")</f>
        <v>5</v>
      </c>
    </row>
    <row r="8" ht="15" spans="1:2">
      <c r="A8" s="5" t="s">
        <v>245</v>
      </c>
      <c r="B8" s="4">
        <f>COUNTIF('Master Schedule'!$C$2:$C$64,"Summary")</f>
        <v>2</v>
      </c>
    </row>
    <row r="9" ht="15" spans="1:2">
      <c r="A9" s="5" t="s">
        <v>246</v>
      </c>
      <c r="B9" s="4">
        <f>COUNTIF('Master Schedule'!$P$2:$P$64,"&gt;0")</f>
        <v>14</v>
      </c>
    </row>
    <row r="10" ht="15" spans="1:2">
      <c r="A10" s="5" t="s">
        <v>247</v>
      </c>
      <c r="B10" s="4">
        <f ca="1">COUNTIFS('Master Schedule'!$O$2:$O$64,"&lt;="&amp;TODAY(),'Master Schedule'!$O$2:$O$64,"&gt;0",'Master Schedule'!$Q$2:$Q$64,"&lt;&gt;Y")</f>
        <v>14</v>
      </c>
    </row>
    <row r="11" spans="1:2">
      <c r="A11" s="4"/>
      <c r="B11" s="4"/>
    </row>
    <row r="12" ht="15" spans="1:2">
      <c r="A12" s="5" t="s">
        <v>248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4</v>
      </c>
    </row>
    <row r="14" ht="15" spans="1:2">
      <c r="A14" s="5" t="s">
        <v>39</v>
      </c>
      <c r="B14" s="4">
        <f>COUNTIF('Master Schedule'!$M$2:$M$64,"Skeleton")</f>
        <v>8</v>
      </c>
    </row>
    <row r="15" ht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ht="15" spans="1:2">
      <c r="A17" s="5" t="s">
        <v>249</v>
      </c>
      <c r="B17" s="4" t="s">
        <v>250</v>
      </c>
    </row>
    <row r="18" ht="15" spans="1:2">
      <c r="A18" s="5" t="s">
        <v>251</v>
      </c>
      <c r="B18" s="4" t="s">
        <v>252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3">
      <c r="A6" t="s">
        <v>264</v>
      </c>
      <c r="B6" t="s">
        <v>265</v>
      </c>
      <c r="C6" t="s">
        <v>266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2026-07-08T05:23:11Z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