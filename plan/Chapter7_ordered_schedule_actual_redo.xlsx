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3" documentId="11_7DE5626199A21D5814B1DB7DF443FB989E2099A3" xr6:coauthVersionLast="47" xr6:coauthVersionMax="47" xr10:uidLastSave="{70A07018-4AEB-4D65-AEC2-493488269AED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10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</calcChain>
</file>

<file path=xl/sharedStrings.xml><?xml version="1.0" encoding="utf-8"?>
<sst xmlns="http://schemas.openxmlformats.org/spreadsheetml/2006/main" count="493" uniqueCount="267">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</sst>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8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B21" workbookViewId="0">
      <selection activeCell="M27" sqref="M27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 t="str">
        <f t="shared" si="0"/>
        <v/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/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 t="str">
        <f t="shared" si="0"/>
        <v/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/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 t="str">
        <f t="shared" si="0"/>
        <v/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/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 t="str">
        <f t="shared" si="0"/>
        <v/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/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 t="str">
        <f t="shared" si="0"/>
        <v/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/>
      <c r="Q27" s="6"/>
      <c r="R27" s="6"/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121</v>
      </c>
      <c r="G28" s="6"/>
      <c r="H28" s="6" t="s">
        <v>122</v>
      </c>
      <c r="I28" s="6" t="s">
        <v>123</v>
      </c>
      <c r="J28" s="6" t="s">
        <v>124</v>
      </c>
      <c r="K28" s="7"/>
      <c r="L28" s="7" t="str">
        <f t="shared" si="0"/>
        <v/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125</v>
      </c>
      <c r="E29" s="6" t="s">
        <v>73</v>
      </c>
      <c r="F29" s="6" t="s">
        <v>126</v>
      </c>
      <c r="G29" s="6"/>
      <c r="H29" s="6"/>
      <c r="I29" s="6" t="s">
        <v>127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125</v>
      </c>
      <c r="E30" s="6" t="s">
        <v>128</v>
      </c>
      <c r="F30" s="6" t="s">
        <v>129</v>
      </c>
      <c r="G30" s="6"/>
      <c r="H30" s="6"/>
      <c r="I30" s="6" t="s">
        <v>130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125</v>
      </c>
      <c r="E31" s="6" t="s">
        <v>131</v>
      </c>
      <c r="F31" s="6" t="s">
        <v>132</v>
      </c>
      <c r="G31" s="6" t="s">
        <v>133</v>
      </c>
      <c r="H31" s="6" t="s">
        <v>134</v>
      </c>
      <c r="I31" s="6" t="s">
        <v>135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125</v>
      </c>
      <c r="E32" s="6" t="s">
        <v>131</v>
      </c>
      <c r="F32" s="6" t="s">
        <v>136</v>
      </c>
      <c r="G32" s="6" t="s">
        <v>137</v>
      </c>
      <c r="H32" s="6" t="s">
        <v>138</v>
      </c>
      <c r="I32" s="6" t="s">
        <v>135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125</v>
      </c>
      <c r="E33" s="6" t="s">
        <v>131</v>
      </c>
      <c r="F33" s="6" t="s">
        <v>139</v>
      </c>
      <c r="G33" s="6" t="s">
        <v>140</v>
      </c>
      <c r="H33" s="6" t="s">
        <v>141</v>
      </c>
      <c r="I33" s="6" t="s">
        <v>135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125</v>
      </c>
      <c r="E34" s="6" t="s">
        <v>131</v>
      </c>
      <c r="F34" s="6" t="s">
        <v>142</v>
      </c>
      <c r="G34" s="6" t="s">
        <v>143</v>
      </c>
      <c r="H34" s="6" t="s">
        <v>144</v>
      </c>
      <c r="I34" s="6" t="s">
        <v>135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125</v>
      </c>
      <c r="E35" s="6" t="s">
        <v>131</v>
      </c>
      <c r="F35" s="6" t="s">
        <v>145</v>
      </c>
      <c r="G35" s="6" t="s">
        <v>146</v>
      </c>
      <c r="H35" s="6" t="s">
        <v>147</v>
      </c>
      <c r="I35" s="6" t="s">
        <v>135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125</v>
      </c>
      <c r="E36" s="6" t="s">
        <v>131</v>
      </c>
      <c r="F36" s="6" t="s">
        <v>148</v>
      </c>
      <c r="G36" s="6" t="s">
        <v>149</v>
      </c>
      <c r="H36" s="6" t="s">
        <v>150</v>
      </c>
      <c r="I36" s="6" t="s">
        <v>135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125</v>
      </c>
      <c r="E37" s="6" t="s">
        <v>131</v>
      </c>
      <c r="F37" s="6" t="s">
        <v>151</v>
      </c>
      <c r="G37" s="6" t="s">
        <v>152</v>
      </c>
      <c r="H37" s="6" t="s">
        <v>153</v>
      </c>
      <c r="I37" s="6" t="s">
        <v>135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125</v>
      </c>
      <c r="E38" s="6" t="s">
        <v>131</v>
      </c>
      <c r="F38" s="6" t="s">
        <v>154</v>
      </c>
      <c r="G38" s="6" t="s">
        <v>155</v>
      </c>
      <c r="H38" s="6" t="s">
        <v>147</v>
      </c>
      <c r="I38" s="6" t="s">
        <v>135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125</v>
      </c>
      <c r="E39" s="6" t="s">
        <v>131</v>
      </c>
      <c r="F39" s="6" t="s">
        <v>156</v>
      </c>
      <c r="G39" s="6" t="s">
        <v>157</v>
      </c>
      <c r="H39" s="6" t="s">
        <v>158</v>
      </c>
      <c r="I39" s="6" t="s">
        <v>135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125</v>
      </c>
      <c r="E40" s="6" t="s">
        <v>131</v>
      </c>
      <c r="F40" s="6" t="s">
        <v>159</v>
      </c>
      <c r="G40" s="6" t="s">
        <v>160</v>
      </c>
      <c r="H40" s="6" t="s">
        <v>161</v>
      </c>
      <c r="I40" s="6" t="s">
        <v>135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125</v>
      </c>
      <c r="E41" s="6" t="s">
        <v>131</v>
      </c>
      <c r="F41" s="6" t="s">
        <v>162</v>
      </c>
      <c r="G41" s="6"/>
      <c r="H41" s="6" t="s">
        <v>163</v>
      </c>
      <c r="I41" s="6" t="s">
        <v>164</v>
      </c>
      <c r="J41" s="6" t="s">
        <v>165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166</v>
      </c>
      <c r="E42" s="6" t="s">
        <v>167</v>
      </c>
      <c r="F42" s="6" t="s">
        <v>168</v>
      </c>
      <c r="G42" s="6"/>
      <c r="H42" s="6"/>
      <c r="I42" s="6" t="s">
        <v>169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166</v>
      </c>
      <c r="E43" s="6" t="s">
        <v>170</v>
      </c>
      <c r="F43" s="6" t="s">
        <v>171</v>
      </c>
      <c r="G43" s="6"/>
      <c r="H43" s="6"/>
      <c r="I43" s="6" t="s">
        <v>172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166</v>
      </c>
      <c r="E44" s="6" t="s">
        <v>173</v>
      </c>
      <c r="F44" s="6" t="s">
        <v>174</v>
      </c>
      <c r="G44" s="6" t="s">
        <v>167</v>
      </c>
      <c r="H44" s="6" t="s">
        <v>175</v>
      </c>
      <c r="I44" s="6" t="s">
        <v>176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166</v>
      </c>
      <c r="E45" s="6" t="s">
        <v>173</v>
      </c>
      <c r="F45" s="6" t="s">
        <v>177</v>
      </c>
      <c r="G45" s="6" t="s">
        <v>178</v>
      </c>
      <c r="H45" s="6" t="s">
        <v>179</v>
      </c>
      <c r="I45" s="6" t="s">
        <v>176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166</v>
      </c>
      <c r="E46" s="6" t="s">
        <v>173</v>
      </c>
      <c r="F46" s="6" t="s">
        <v>180</v>
      </c>
      <c r="G46" s="6" t="s">
        <v>181</v>
      </c>
      <c r="H46" s="6" t="s">
        <v>175</v>
      </c>
      <c r="I46" s="6" t="s">
        <v>176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166</v>
      </c>
      <c r="E47" s="6" t="s">
        <v>173</v>
      </c>
      <c r="F47" s="6" t="s">
        <v>182</v>
      </c>
      <c r="G47" s="6" t="s">
        <v>183</v>
      </c>
      <c r="H47" s="6" t="s">
        <v>184</v>
      </c>
      <c r="I47" s="6" t="s">
        <v>176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166</v>
      </c>
      <c r="E48" s="6" t="s">
        <v>173</v>
      </c>
      <c r="F48" s="6" t="s">
        <v>185</v>
      </c>
      <c r="G48" s="6" t="s">
        <v>186</v>
      </c>
      <c r="H48" s="6" t="s">
        <v>187</v>
      </c>
      <c r="I48" s="6" t="s">
        <v>176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166</v>
      </c>
      <c r="E49" s="6" t="s">
        <v>173</v>
      </c>
      <c r="F49" s="6" t="s">
        <v>188</v>
      </c>
      <c r="G49" s="6" t="s">
        <v>189</v>
      </c>
      <c r="H49" s="6" t="s">
        <v>190</v>
      </c>
      <c r="I49" s="6" t="s">
        <v>176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166</v>
      </c>
      <c r="E50" s="6" t="s">
        <v>173</v>
      </c>
      <c r="F50" s="6" t="s">
        <v>191</v>
      </c>
      <c r="G50" s="6" t="s">
        <v>192</v>
      </c>
      <c r="H50" s="6" t="s">
        <v>193</v>
      </c>
      <c r="I50" s="6" t="s">
        <v>176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166</v>
      </c>
      <c r="E51" s="6" t="s">
        <v>173</v>
      </c>
      <c r="F51" s="6" t="s">
        <v>194</v>
      </c>
      <c r="G51" s="6" t="s">
        <v>195</v>
      </c>
      <c r="H51" s="6" t="s">
        <v>196</v>
      </c>
      <c r="I51" s="6" t="s">
        <v>176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166</v>
      </c>
      <c r="E52" s="6" t="s">
        <v>173</v>
      </c>
      <c r="F52" s="6" t="s">
        <v>197</v>
      </c>
      <c r="G52" s="6" t="s">
        <v>198</v>
      </c>
      <c r="H52" s="6" t="s">
        <v>199</v>
      </c>
      <c r="I52" s="6" t="s">
        <v>176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166</v>
      </c>
      <c r="E53" s="6" t="s">
        <v>173</v>
      </c>
      <c r="F53" s="6" t="s">
        <v>200</v>
      </c>
      <c r="G53" s="6" t="s">
        <v>201</v>
      </c>
      <c r="H53" s="6" t="s">
        <v>175</v>
      </c>
      <c r="I53" s="6" t="s">
        <v>176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166</v>
      </c>
      <c r="E54" s="6" t="s">
        <v>173</v>
      </c>
      <c r="F54" s="6" t="s">
        <v>202</v>
      </c>
      <c r="G54" s="6" t="s">
        <v>203</v>
      </c>
      <c r="H54" s="6" t="s">
        <v>193</v>
      </c>
      <c r="I54" s="6" t="s">
        <v>176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166</v>
      </c>
      <c r="E55" s="6" t="s">
        <v>173</v>
      </c>
      <c r="F55" s="6" t="s">
        <v>204</v>
      </c>
      <c r="G55" s="6" t="s">
        <v>205</v>
      </c>
      <c r="H55" s="6" t="s">
        <v>175</v>
      </c>
      <c r="I55" s="6" t="s">
        <v>176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166</v>
      </c>
      <c r="E56" s="6" t="s">
        <v>173</v>
      </c>
      <c r="F56" s="6" t="s">
        <v>206</v>
      </c>
      <c r="G56" s="6"/>
      <c r="H56" s="6" t="s">
        <v>207</v>
      </c>
      <c r="I56" s="6" t="s">
        <v>208</v>
      </c>
      <c r="J56" s="6" t="s">
        <v>209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210</v>
      </c>
      <c r="E57" s="6" t="s">
        <v>211</v>
      </c>
      <c r="F57" s="6" t="s">
        <v>212</v>
      </c>
      <c r="G57" s="6"/>
      <c r="H57" s="6"/>
      <c r="I57" s="6" t="s">
        <v>213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210</v>
      </c>
      <c r="E58" s="6" t="s">
        <v>214</v>
      </c>
      <c r="F58" s="6" t="s">
        <v>215</v>
      </c>
      <c r="G58" s="6" t="s">
        <v>216</v>
      </c>
      <c r="H58" s="6" t="s">
        <v>217</v>
      </c>
      <c r="I58" s="6" t="s">
        <v>218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210</v>
      </c>
      <c r="E59" s="6" t="s">
        <v>214</v>
      </c>
      <c r="F59" s="6" t="s">
        <v>219</v>
      </c>
      <c r="G59" s="6" t="s">
        <v>220</v>
      </c>
      <c r="H59" s="6" t="s">
        <v>221</v>
      </c>
      <c r="I59" s="6" t="s">
        <v>218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210</v>
      </c>
      <c r="E60" s="6" t="s">
        <v>214</v>
      </c>
      <c r="F60" s="6" t="s">
        <v>222</v>
      </c>
      <c r="G60" s="6" t="s">
        <v>223</v>
      </c>
      <c r="H60" s="6" t="s">
        <v>224</v>
      </c>
      <c r="I60" s="6" t="s">
        <v>218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210</v>
      </c>
      <c r="E61" s="6" t="s">
        <v>214</v>
      </c>
      <c r="F61" s="6" t="s">
        <v>225</v>
      </c>
      <c r="G61" s="6" t="s">
        <v>226</v>
      </c>
      <c r="H61" s="6" t="s">
        <v>227</v>
      </c>
      <c r="I61" s="6" t="s">
        <v>218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210</v>
      </c>
      <c r="E62" s="6" t="s">
        <v>214</v>
      </c>
      <c r="F62" s="6" t="s">
        <v>228</v>
      </c>
      <c r="G62" s="6" t="s">
        <v>229</v>
      </c>
      <c r="H62" s="6" t="s">
        <v>230</v>
      </c>
      <c r="I62" s="6" t="s">
        <v>218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231</v>
      </c>
      <c r="D63" s="6" t="s">
        <v>232</v>
      </c>
      <c r="E63" s="6" t="s">
        <v>233</v>
      </c>
      <c r="F63" s="6" t="s">
        <v>234</v>
      </c>
      <c r="G63" s="6"/>
      <c r="H63" s="6"/>
      <c r="I63" s="6" t="s">
        <v>235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231</v>
      </c>
      <c r="D64" s="6" t="s">
        <v>232</v>
      </c>
      <c r="E64" s="6" t="s">
        <v>233</v>
      </c>
      <c r="F64" s="6" t="s">
        <v>236</v>
      </c>
      <c r="G64" s="6"/>
      <c r="H64" s="6"/>
      <c r="I64" s="6" t="s">
        <v>237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238</v>
      </c>
      <c r="B1" s="1"/>
    </row>
    <row r="2" spans="1:2" ht="27">
      <c r="A2" s="3" t="s">
        <v>239</v>
      </c>
      <c r="B2" s="3" t="s">
        <v>240</v>
      </c>
    </row>
    <row r="3" spans="1:2">
      <c r="A3" s="4"/>
      <c r="B3" s="4"/>
    </row>
    <row r="4" spans="1:2">
      <c r="A4" s="5" t="s">
        <v>241</v>
      </c>
      <c r="B4" s="4">
        <f>COUNTA('Master Schedule'!$A$2:$A$64)</f>
        <v>63</v>
      </c>
    </row>
    <row r="5" spans="1:2">
      <c r="A5" s="5" t="s">
        <v>242</v>
      </c>
      <c r="B5" s="4">
        <f>COUNTIF('Master Schedule'!$C$2:$C$64,"Read")</f>
        <v>10</v>
      </c>
    </row>
    <row r="6" spans="1:2">
      <c r="A6" s="5" t="s">
        <v>243</v>
      </c>
      <c r="B6" s="4">
        <f>COUNTIF('Master Schedule'!$C$2:$C$64,"Exercise")</f>
        <v>46</v>
      </c>
    </row>
    <row r="7" spans="1:2">
      <c r="A7" s="5" t="s">
        <v>244</v>
      </c>
      <c r="B7" s="4">
        <f>COUNTIF('Master Schedule'!$C$2:$C$64,"Gate")</f>
        <v>5</v>
      </c>
    </row>
    <row r="8" spans="1:2">
      <c r="A8" s="5" t="s">
        <v>245</v>
      </c>
      <c r="B8" s="4">
        <f>COUNTIF('Master Schedule'!$C$2:$C$64,"Summary")</f>
        <v>2</v>
      </c>
    </row>
    <row r="9" spans="1:2" ht="27">
      <c r="A9" s="5" t="s">
        <v>246</v>
      </c>
      <c r="B9" s="4">
        <f>COUNTIF('Master Schedule'!$P$2:$P$64,"&gt;0")</f>
        <v>14</v>
      </c>
    </row>
    <row r="10" spans="1:2" ht="27">
      <c r="A10" s="5" t="s">
        <v>247</v>
      </c>
      <c r="B10" s="4">
        <f ca="1">COUNTIFS('Master Schedule'!$O$2:$O$64,"&lt;="&amp;TODAY(),'Master Schedule'!$O$2:$O$64,"&gt;0",'Master Schedule'!$Q$2:$Q$64,"&lt;&gt;Y")</f>
        <v>18</v>
      </c>
    </row>
    <row r="11" spans="1:2">
      <c r="A11" s="4"/>
      <c r="B11" s="4"/>
    </row>
    <row r="12" spans="1:2">
      <c r="A12" s="5" t="s">
        <v>248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5</v>
      </c>
    </row>
    <row r="14" spans="1:2">
      <c r="A14" s="5" t="s">
        <v>39</v>
      </c>
      <c r="B14" s="4">
        <f>COUNTIF('Master Schedule'!$M$2:$M$64,"Skeleton")</f>
        <v>8</v>
      </c>
    </row>
    <row r="15" spans="1:2">
      <c r="A15" s="5" t="s">
        <v>30</v>
      </c>
      <c r="B15" s="4">
        <f>COUNTIF('Master Schedule'!$M$2:$M$64,"Crack it")</f>
        <v>6</v>
      </c>
    </row>
    <row r="16" spans="1:2">
      <c r="A16" s="4"/>
      <c r="B16" s="4"/>
    </row>
    <row r="17" spans="1:2" ht="27">
      <c r="A17" s="5" t="s">
        <v>249</v>
      </c>
      <c r="B17" s="4" t="s">
        <v>250</v>
      </c>
    </row>
    <row r="18" spans="1:2">
      <c r="A18" s="5" t="s">
        <v>251</v>
      </c>
      <c r="B18" s="4" t="s">
        <v>252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253</v>
      </c>
      <c r="C1" s="1" t="s">
        <v>254</v>
      </c>
      <c r="D1" s="1" t="s">
        <v>255</v>
      </c>
    </row>
    <row r="2" spans="1:4">
      <c r="A2" t="s">
        <v>248</v>
      </c>
      <c r="B2" t="s">
        <v>256</v>
      </c>
      <c r="C2" t="s">
        <v>257</v>
      </c>
      <c r="D2" s="2">
        <v>1</v>
      </c>
    </row>
    <row r="3" spans="1:4">
      <c r="A3" t="s">
        <v>55</v>
      </c>
      <c r="B3" t="s">
        <v>258</v>
      </c>
      <c r="C3" t="s">
        <v>259</v>
      </c>
      <c r="D3" s="2">
        <v>2</v>
      </c>
    </row>
    <row r="4" spans="1:4">
      <c r="A4" t="s">
        <v>39</v>
      </c>
      <c r="B4" t="s">
        <v>260</v>
      </c>
      <c r="C4" t="s">
        <v>261</v>
      </c>
      <c r="D4" s="2">
        <v>2</v>
      </c>
    </row>
    <row r="5" spans="1:4">
      <c r="A5" t="s">
        <v>30</v>
      </c>
      <c r="B5" t="s">
        <v>262</v>
      </c>
      <c r="C5" t="s">
        <v>263</v>
      </c>
      <c r="D5" s="2">
        <v>2</v>
      </c>
    </row>
    <row r="6" spans="1:4">
      <c r="A6" t="s">
        <v>264</v>
      </c>
      <c r="B6" t="s">
        <v>265</v>
      </c>
      <c r="C6" t="s">
        <v>266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2026-07-11T22:52:13Z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