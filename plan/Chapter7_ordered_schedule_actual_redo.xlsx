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8" documentId="11_694932E1AE62AEE853A2737DE850B75DE210EBCF" xr6:coauthVersionLast="47" xr6:coauthVersionMax="47" xr10:uidLastSave="{FCDD8A4F-870E-443E-8B20-EB70A9AD24DD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<sst xmlns="http://schemas.openxmlformats.org/spreadsheetml/2006/main" count="516" uniqueCount="269">
  <si>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</si>
  <si>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</si>
  <si>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</si>
  <si>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</si>
  <si>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</si>
  <si>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</si>
  <si>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</si>
  <si>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</si>
  <si>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</si>
  <si>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</si>
  <si>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</si>
  <si>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</si>
  <si>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</si>
  <si>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</si>
  <si>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</si>
  <si>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</si>
  <si>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</si>
  <si>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</si>
  <si>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</si>
  <si>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</si>
  <si>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</si>
  <si>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</si>
  <si>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</si>
  <si>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</si>
  <si>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</si>
  <si>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</si>
  <si>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</si>
  <si>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</si>
  <si>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</si>
  <si>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</si>
  <si>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</si>
  <si>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</si>
  <si>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</si>
  <si>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</si>
  <si>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</si>
  <si>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</si>
  <si>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</si>
  <si>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</si>
  <si>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</si>
  <si>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</si>
  <si>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</si>
  <si>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</si>
  <si>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</si>
  <si>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</si>
  <si>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</si>
  <si>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</si>
  <si>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</si>
  <si>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</si>
  <si>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</si>
  <si>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</si>
  <si>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</si>
  <si>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</si>
  <si>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</si>
  <si>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</si>
  <si>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</si>
  <si>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</si>
  <si>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</si>
  <si>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</si>
  <si>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</si>
  <si>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</si>
  <si>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</si>
  <si>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</si>
  <si>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</si>
  <si>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</si>
  <si>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</si>
  <si>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</si>
  <si>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</si>
  <si>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</si>
  <si>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</si>
  <si>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</si>
  <si>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</si>
  <si>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</si>
  <si>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</si>
  <si>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</si>
  <si>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</si>
  <si>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</si>
  <si>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</si>
  <si>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</si>
  <si>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</si>
  <si>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</si>
  <si>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</si>
  <si>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</si>
  <si>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</si>
  <si>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</si>
  <si>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</si>
  <si>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</si>
  <si>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</si>
  <si>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</si>
  <si>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</si>
  <si>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</si>
  <si>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</si>
  <si>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</si>
  <si>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</si>
  <si>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</si>
  <si>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</si>
  <si>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</si>
  <si>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</si>
  <si>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</si>
  <si>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</si>
  <si>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</si>
  <si>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</si>
  <si>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</si>
  <si>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</si>
  <si>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</si>
  <si>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</si>
  <si>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</si>
  <si>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</si>
  <si>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</si>
  <si>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</si>
  <si>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</si>
  <si>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</si>
  <si>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</si>
  <si>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</si>
  <si>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</si>
  <si>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</si>
  <si>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</si>
  <si>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</si>
  <si>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</si>
  <si>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</si>
  <si>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</si>
  <si>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</si>
  <si>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</si>
  <si>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</si>
  <si>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</si>
  <si>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</si>
  <si>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</si>
  <si>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</si>
  <si>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</si>
  <si>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</si>
  <si>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</si>
  <si>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</si>
  <si>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</si>
  <si>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</si>
  <si>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</si>
  <si>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</si>
  <si>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</si>
  <si>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</si>
  <si>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</si>
  <si>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</si>
  <si>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</si>
  <si>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</si>
  <si>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</si>
  <si>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</si>
  <si>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</si>
  <si>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</si>
  <si>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</si>
  <si>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</si>
  <si>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</si>
  <si>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</si>
  <si>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</si>
  <si>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</si>
  <si>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</si>
  <si>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</si>
  <si>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</si>
  <si>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</si>
  <si>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</si>
  <si>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</si>
  <si>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</si>
  <si>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</si>
  <si>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</si>
  <si>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</si>
  <si>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</si>
  <si>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</si>
  <si>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</si>
  <si>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</si>
  <si>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</si>
  <si>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</si>
  <si>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</si>
  <si>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</si>
  <si>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</si>
  <si>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</si>
  <si>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</si>
  <si>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</si>
  <si>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</si>
  <si>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</si>
  <si>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</si>
  <si>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</si>
  <si>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</si>
  <si>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</si>
  <si>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</si>
  <si>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</si>
  <si>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</si>
  <si>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</si>
  <si>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</si>
  <si>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</si>
  <si>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</si>
  <si>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</si>
  <si>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</si>
  <si>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</si>
  <si>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</si>
  <si>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</si>
  <si>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</si>
  <si>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</si>
  <si>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</si>
  <si>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</si>
  <si>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</si>
  <si>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</si>
  <si>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</si>
  <si>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</si>
  <si>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</si>
  <si>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</si>
  <si>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</si>
  <si>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</si>
  <si>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</si>
  <si>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</si>
  <si>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</si>
  <si>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</si>
  <si>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</si>
  <si>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</si>
  <si>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</si>
  <si>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</si>
  <si>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</si>
  <si>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</si>
  <si>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</si>
  <si>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</si>
  <si>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</si>
  <si>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</si>
  <si>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</si>
  <si>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</si>
  <si>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</si>
  <si>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</si>
  <si>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</si>
  <si>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</si>
  <si>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</si>
  <si>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</si>
  <si>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</si>
  <si>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</si>
  <si>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</si>
  <si>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</si>
  <si>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</si>
  <si>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</si>
  <si>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</si>
  <si>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</si>
  <si>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</si>
  <si>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</si>
  <si>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</si>
  <si>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</si>
  <si>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</si>
  <si>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</si>
  <si>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</si>
  <si>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</si>
  <si>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</si>
  <si>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</si>
  <si>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</si>
  <si>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</si>
  <si>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</si>
  <si>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</si>
  <si>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</si>
  <si>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</si>
  <si>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</si>
  <si>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</si>
  <si>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</si>
  <si>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</si>
  <si>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</si>
  <si>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</si>
  <si>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</si>
  <si>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</si>
  <si>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</si>
  <si>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</si>
  <si>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</si>
  <si>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</si>
  <si>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</si>
  <si>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</si>
  <si>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</si>
  <si>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</si>
  <si>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</si>
  <si>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</si>
  <si>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</si>
  <si>
    <t>Same as Ex 13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</si>
</sst>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C48" zoomScale="85" zoomScaleNormal="85" workbookViewId="0">
      <selection activeCell="K57" sqref="K57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 t="str">
        <f t="shared" si="1"/>
        <v/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 t="str">
        <f t="shared" si="1"/>
        <v/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 t="str">
        <f t="shared" si="1"/>
        <v/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>
        <v>46249</v>
      </c>
      <c r="L53" s="7" t="str">
        <f t="shared" si="1"/>
        <v/>
      </c>
      <c r="M53" s="6" t="s">
        <v>30</v>
      </c>
      <c r="N53" s="6"/>
      <c r="O53" s="7">
        <f>IF(AND($C53="Exercise",$K53&lt;&gt;"",$M53&lt;&gt;""),$K53+VLOOKUP($M53,'Redo Rules'!$A$2:$D$5,4,FALSE),"")</f>
        <v>46251</v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>
        <v>46249</v>
      </c>
      <c r="L54" s="7" t="str">
        <f t="shared" si="1"/>
        <v/>
      </c>
      <c r="M54" s="6" t="s">
        <v>30</v>
      </c>
      <c r="N54" s="6"/>
      <c r="O54" s="7">
        <f>IF(AND($C54="Exercise",$K54&lt;&gt;"",$M54&lt;&gt;""),$K54+VLOOKUP($M54,'Redo Rules'!$A$2:$D$5,4,FALSE),"")</f>
        <v>46251</v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 t="s">
        <v>268</v>
      </c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>
        <v>46250</v>
      </c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>
        <v>46250</v>
      </c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33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36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19</v>
      </c>
    </row>
    <row r="15" spans="1:2">
      <c r="A15" s="5" t="s">
        <v>30</v>
      </c>
      <c r="B15" s="4">
        <f>COUNTIF('Master Schedule'!$M$2:$M$64,"Crack it")</f>
        <v>13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2026-08-16T04:06:56Z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