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<sst xmlns="http://schemas.openxmlformats.org/spreadsheetml/2006/main" count="520" uniqueCount="269">
  <si>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</si>
  <si>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</si>
  <si>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</si>
  <si>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</si>
  <si>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</si>
  <si>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</si>
  <si>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</si>
  <si>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</si>
  <si>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</si>
  <si>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</si>
  <si>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</si>
  <si>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</si>
  <si>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</si>
  <si>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</si>
  <si>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</si>
  <si>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</si>
  <si>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</si>
  <si>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</si>
  <si>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</si>
  <si>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</si>
  <si>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</si>
  <si>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</si>
  <si>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</si>
  <si>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</si>
  <si>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</si>
  <si>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</si>
  <si>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</si>
  <si>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</si>
  <si>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</si>
  <si>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</si>
  <si>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</si>
  <si>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</si>
  <si>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</si>
  <si>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</si>
  <si>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</si>
  <si>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</si>
  <si>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</si>
  <si>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</si>
  <si>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</si>
  <si>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</si>
  <si>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</si>
  <si>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</si>
  <si>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</si>
  <si>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</si>
  <si>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</si>
  <si>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</si>
  <si>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</si>
  <si>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</si>
  <si>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</si>
  <si>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</si>
  <si>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</si>
  <si>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</si>
  <si>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</si>
  <si>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</si>
  <si>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</si>
  <si>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</si>
  <si>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</si>
  <si>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</si>
  <si>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</si>
  <si>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</si>
  <si>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</si>
  <si>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</si>
  <si>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</si>
  <si>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</si>
  <si>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</si>
  <si>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</si>
  <si>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</si>
  <si>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</si>
  <si>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</si>
  <si>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</si>
  <si>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</si>
  <si>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</si>
  <si>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</si>
  <si>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</si>
  <si>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</si>
  <si>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</si>
  <si>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</si>
  <si>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</si>
  <si>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</si>
  <si>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</si>
  <si>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</si>
  <si>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</si>
  <si>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</si>
  <si>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</si>
  <si>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</si>
  <si>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</si>
  <si>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</si>
  <si>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</si>
  <si>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</si>
  <si>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</si>
  <si>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</si>
  <si>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</si>
  <si>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</si>
  <si>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</si>
  <si>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</si>
  <si>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</si>
  <si>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</si>
  <si>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</si>
  <si>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</si>
  <si>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</si>
  <si>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</si>
  <si>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</si>
  <si>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</si>
  <si>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</si>
  <si>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</si>
  <si>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</si>
  <si>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</si>
  <si>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</si>
  <si>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</si>
  <si>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</si>
  <si>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</si>
  <si>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</si>
  <si>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</si>
  <si>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</si>
  <si>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</si>
  <si>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</si>
  <si>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</si>
  <si>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</si>
  <si>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</si>
  <si>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</si>
  <si>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</si>
  <si>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</si>
  <si>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</si>
  <si>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</si>
  <si>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</si>
  <si>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</si>
  <si>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</si>
  <si>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</si>
  <si>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</si>
  <si>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</si>
  <si>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</si>
  <si>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</si>
  <si>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</si>
  <si>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</si>
  <si>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</si>
  <si>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</si>
  <si>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</si>
  <si>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</si>
  <si>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</si>
  <si>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</si>
  <si>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</si>
  <si>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</si>
  <si>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</si>
  <si>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</si>
  <si>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</si>
  <si>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</si>
  <si>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</si>
  <si>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</si>
  <si>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</si>
  <si>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</si>
  <si>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</si>
  <si>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</si>
  <si>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</si>
  <si>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</si>
  <si>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</si>
  <si>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</si>
  <si>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</si>
  <si>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</si>
  <si>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</si>
  <si>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</si>
  <si>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</si>
  <si>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</si>
  <si>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</si>
  <si>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</si>
  <si>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</si>
  <si>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</si>
  <si>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</si>
  <si>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</si>
  <si>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</si>
  <si>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</si>
  <si>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</si>
  <si>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</si>
  <si>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</si>
  <si>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</si>
  <si>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</si>
  <si>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</si>
  <si>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</si>
  <si>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</si>
  <si>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</si>
  <si>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</si>
  <si>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</si>
  <si>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</si>
  <si>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</si>
  <si>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</si>
  <si>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</si>
  <si>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</si>
  <si>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</si>
  <si>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</si>
  <si>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</si>
  <si>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</si>
  <si>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</si>
  <si>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</si>
  <si>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</si>
  <si>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</si>
  <si>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</si>
  <si>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</si>
  <si>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</si>
  <si>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</si>
  <si>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</si>
  <si>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</si>
  <si>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</si>
  <si>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</si>
  <si>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</si>
  <si>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</si>
  <si>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</si>
  <si>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</si>
  <si>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</si>
  <si>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Same as Ex 13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</si>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</sst>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21" borderId="5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12" borderId="4" applyNumberFormat="0" applyFont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10" fillId="15" borderId="5" applyNumberFormat="0" applyAlignment="0" applyProtection="0">
      <alignment vertical="center"/>
    </xf>
    <xf numFmtId="0" fontId="8" fillId="11" borderId="2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F55" workbookViewId="0">
      <selection activeCell="M61" sqref="M61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>
        <f t="shared" si="1"/>
        <v>46250</v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>
        <v>46250</v>
      </c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>
        <f t="shared" si="1"/>
        <v>46250</v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>
        <v>46250</v>
      </c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>
        <f t="shared" si="1"/>
        <v>46253</v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>
        <v>46253</v>
      </c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>
        <v>46249</v>
      </c>
      <c r="L53" s="7">
        <f t="shared" si="1"/>
        <v>46253</v>
      </c>
      <c r="M53" s="6" t="s">
        <v>30</v>
      </c>
      <c r="N53" s="6"/>
      <c r="O53" s="7">
        <f>IF(AND($C53="Exercise",$K53&lt;&gt;"",$M53&lt;&gt;""),$K53+VLOOKUP($M53,'Redo Rules'!$A$2:$D$5,4,FALSE),"")</f>
        <v>46251</v>
      </c>
      <c r="P53" s="7">
        <v>46253</v>
      </c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>
        <v>46249</v>
      </c>
      <c r="L54" s="7">
        <f t="shared" si="1"/>
        <v>46253</v>
      </c>
      <c r="M54" s="6" t="s">
        <v>30</v>
      </c>
      <c r="N54" s="6"/>
      <c r="O54" s="7">
        <f>IF(AND($C54="Exercise",$K54&lt;&gt;"",$M54&lt;&gt;""),$K54+VLOOKUP($M54,'Redo Rules'!$A$2:$D$5,4,FALSE),"")</f>
        <v>46251</v>
      </c>
      <c r="P54" s="7">
        <v>46253</v>
      </c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 t="s">
        <v>207</v>
      </c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208</v>
      </c>
      <c r="G56" s="6"/>
      <c r="H56" s="6" t="s">
        <v>209</v>
      </c>
      <c r="I56" s="6" t="s">
        <v>210</v>
      </c>
      <c r="J56" s="6" t="s">
        <v>211</v>
      </c>
      <c r="K56" s="7">
        <v>46250</v>
      </c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212</v>
      </c>
      <c r="E57" s="6" t="s">
        <v>213</v>
      </c>
      <c r="F57" s="6" t="s">
        <v>214</v>
      </c>
      <c r="G57" s="6"/>
      <c r="H57" s="6"/>
      <c r="I57" s="6" t="s">
        <v>215</v>
      </c>
      <c r="J57" s="6"/>
      <c r="K57" s="7">
        <v>46250</v>
      </c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212</v>
      </c>
      <c r="E58" s="6" t="s">
        <v>216</v>
      </c>
      <c r="F58" s="6" t="s">
        <v>217</v>
      </c>
      <c r="G58" s="6" t="s">
        <v>218</v>
      </c>
      <c r="H58" s="6" t="s">
        <v>219</v>
      </c>
      <c r="I58" s="6" t="s">
        <v>220</v>
      </c>
      <c r="J58" s="6"/>
      <c r="K58" s="7">
        <v>46251</v>
      </c>
      <c r="L58" s="7">
        <f t="shared" si="1"/>
        <v>46264</v>
      </c>
      <c r="M58" s="6" t="s">
        <v>39</v>
      </c>
      <c r="N58" s="6"/>
      <c r="O58" s="7">
        <f>IF(AND($C58="Exercise",$K58&lt;&gt;"",$M58&lt;&gt;""),$K58+VLOOKUP($M58,'Redo Rules'!$A$2:$D$5,4,FALSE),"")</f>
        <v>46253</v>
      </c>
      <c r="P58" s="7">
        <v>46264</v>
      </c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212</v>
      </c>
      <c r="E59" s="6" t="s">
        <v>216</v>
      </c>
      <c r="F59" s="6" t="s">
        <v>221</v>
      </c>
      <c r="G59" s="6" t="s">
        <v>222</v>
      </c>
      <c r="H59" s="6" t="s">
        <v>223</v>
      </c>
      <c r="I59" s="6" t="s">
        <v>220</v>
      </c>
      <c r="J59" s="6"/>
      <c r="K59" s="7">
        <v>46265</v>
      </c>
      <c r="L59" s="7" t="str">
        <f t="shared" si="1"/>
        <v/>
      </c>
      <c r="M59" s="6" t="s">
        <v>30</v>
      </c>
      <c r="N59" s="6"/>
      <c r="O59" s="7">
        <f>IF(AND($C59="Exercise",$K59&lt;&gt;"",$M59&lt;&gt;""),$K59+VLOOKUP($M59,'Redo Rules'!$A$2:$D$5,4,FALSE),"")</f>
        <v>46267</v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212</v>
      </c>
      <c r="E60" s="6" t="s">
        <v>216</v>
      </c>
      <c r="F60" s="6" t="s">
        <v>224</v>
      </c>
      <c r="G60" s="6" t="s">
        <v>225</v>
      </c>
      <c r="H60" s="6" t="s">
        <v>226</v>
      </c>
      <c r="I60" s="6" t="s">
        <v>220</v>
      </c>
      <c r="J60" s="6"/>
      <c r="K60" s="7">
        <v>46266</v>
      </c>
      <c r="L60" s="7" t="str">
        <f t="shared" si="1"/>
        <v/>
      </c>
      <c r="M60" s="6" t="s">
        <v>30</v>
      </c>
      <c r="N60" s="6"/>
      <c r="O60" s="7">
        <f>IF(AND($C60="Exercise",$K60&lt;&gt;"",$M60&lt;&gt;""),$K60+VLOOKUP($M60,'Redo Rules'!$A$2:$D$5,4,FALSE),"")</f>
        <v>46268</v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212</v>
      </c>
      <c r="E61" s="6" t="s">
        <v>216</v>
      </c>
      <c r="F61" s="6" t="s">
        <v>227</v>
      </c>
      <c r="G61" s="6" t="s">
        <v>228</v>
      </c>
      <c r="H61" s="6" t="s">
        <v>229</v>
      </c>
      <c r="I61" s="6" t="s">
        <v>220</v>
      </c>
      <c r="J61" s="6"/>
      <c r="K61" s="7">
        <v>46267</v>
      </c>
      <c r="L61" s="7" t="str">
        <f t="shared" si="1"/>
        <v/>
      </c>
      <c r="M61" s="6" t="s">
        <v>30</v>
      </c>
      <c r="N61" s="6"/>
      <c r="O61" s="7">
        <f>IF(AND($C61="Exercise",$K61&lt;&gt;"",$M61&lt;&gt;""),$K61+VLOOKUP($M61,'Redo Rules'!$A$2:$D$5,4,FALSE),"")</f>
        <v>46269</v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212</v>
      </c>
      <c r="E62" s="6" t="s">
        <v>216</v>
      </c>
      <c r="F62" s="6" t="s">
        <v>230</v>
      </c>
      <c r="G62" s="6" t="s">
        <v>231</v>
      </c>
      <c r="H62" s="6" t="s">
        <v>232</v>
      </c>
      <c r="I62" s="6" t="s">
        <v>220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233</v>
      </c>
      <c r="D63" s="6" t="s">
        <v>234</v>
      </c>
      <c r="E63" s="6" t="s">
        <v>235</v>
      </c>
      <c r="F63" s="6" t="s">
        <v>236</v>
      </c>
      <c r="G63" s="6"/>
      <c r="H63" s="6"/>
      <c r="I63" s="6" t="s">
        <v>237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233</v>
      </c>
      <c r="D64" s="6" t="s">
        <v>234</v>
      </c>
      <c r="E64" s="6" t="s">
        <v>235</v>
      </c>
      <c r="F64" s="6" t="s">
        <v>238</v>
      </c>
      <c r="G64" s="6"/>
      <c r="H64" s="6"/>
      <c r="I64" s="6" t="s">
        <v>239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699305555555556" right="0.699305555555556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240</v>
      </c>
      <c r="B1" s="1"/>
    </row>
    <row r="2" ht="28.5" spans="1:2">
      <c r="A2" s="3" t="s">
        <v>241</v>
      </c>
      <c r="B2" s="3" t="s">
        <v>242</v>
      </c>
    </row>
    <row r="3" spans="1:2">
      <c r="A3" s="4"/>
      <c r="B3" s="4"/>
    </row>
    <row r="4" ht="15" spans="1:2">
      <c r="A4" s="5" t="s">
        <v>243</v>
      </c>
      <c r="B4" s="4">
        <f>COUNTA('Master Schedule'!$A$2:$A$64)</f>
        <v>63</v>
      </c>
    </row>
    <row r="5" ht="15" spans="1:2">
      <c r="A5" s="5" t="s">
        <v>244</v>
      </c>
      <c r="B5" s="4">
        <f>COUNTIF('Master Schedule'!$C$2:$C$64,"Read")</f>
        <v>10</v>
      </c>
    </row>
    <row r="6" ht="15" spans="1:2">
      <c r="A6" s="5" t="s">
        <v>245</v>
      </c>
      <c r="B6" s="4">
        <f>COUNTIF('Master Schedule'!$C$2:$C$64,"Exercise")</f>
        <v>46</v>
      </c>
    </row>
    <row r="7" ht="15" spans="1:2">
      <c r="A7" s="5" t="s">
        <v>246</v>
      </c>
      <c r="B7" s="4">
        <f>COUNTIF('Master Schedule'!$C$2:$C$64,"Gate")</f>
        <v>5</v>
      </c>
    </row>
    <row r="8" ht="15" spans="1:2">
      <c r="A8" s="5" t="s">
        <v>247</v>
      </c>
      <c r="B8" s="4">
        <f>COUNTIF('Master Schedule'!$C$2:$C$64,"Summary")</f>
        <v>2</v>
      </c>
    </row>
    <row r="9" ht="15" spans="1:2">
      <c r="A9" s="5" t="s">
        <v>248</v>
      </c>
      <c r="B9" s="4">
        <f>COUNTIF('Master Schedule'!$P$2:$P$64,"&gt;0")</f>
        <v>39</v>
      </c>
    </row>
    <row r="10" ht="15" spans="1:2">
      <c r="A10" s="5" t="s">
        <v>249</v>
      </c>
      <c r="B10" s="4">
        <f ca="1">COUNTIFS('Master Schedule'!$O$2:$O$64,"&lt;="&amp;TODAY(),'Master Schedule'!$O$2:$O$64,"&gt;0",'Master Schedule'!$Q$2:$Q$64,"&lt;&gt;Y")</f>
        <v>41</v>
      </c>
    </row>
    <row r="11" spans="1:2">
      <c r="A11" s="4"/>
      <c r="B11" s="4"/>
    </row>
    <row r="12" ht="15" spans="1:2">
      <c r="A12" s="5" t="s">
        <v>250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8</v>
      </c>
    </row>
    <row r="14" ht="15" spans="1:2">
      <c r="A14" s="5" t="s">
        <v>39</v>
      </c>
      <c r="B14" s="4">
        <f>COUNTIF('Master Schedule'!$M$2:$M$64,"Skeleton")</f>
        <v>20</v>
      </c>
    </row>
    <row r="15" ht="15" spans="1:2">
      <c r="A15" s="5" t="s">
        <v>30</v>
      </c>
      <c r="B15" s="4">
        <f>COUNTIF('Master Schedule'!$M$2:$M$64,"Crack it")</f>
        <v>16</v>
      </c>
    </row>
    <row r="16" spans="1:2">
      <c r="A16" s="4"/>
      <c r="B16" s="4"/>
    </row>
    <row r="17" ht="15" spans="1:2">
      <c r="A17" s="5" t="s">
        <v>251</v>
      </c>
      <c r="B17" s="4" t="s">
        <v>252</v>
      </c>
    </row>
    <row r="18" ht="15" spans="1:2">
      <c r="A18" s="5" t="s">
        <v>253</v>
      </c>
      <c r="B18" s="4" t="s">
        <v>254</v>
      </c>
    </row>
  </sheetData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255</v>
      </c>
      <c r="C1" s="1" t="s">
        <v>256</v>
      </c>
      <c r="D1" s="1" t="s">
        <v>257</v>
      </c>
    </row>
    <row r="2" spans="1:4">
      <c r="A2" t="s">
        <v>250</v>
      </c>
      <c r="B2" t="s">
        <v>258</v>
      </c>
      <c r="C2" t="s">
        <v>259</v>
      </c>
      <c r="D2" s="2">
        <v>1</v>
      </c>
    </row>
    <row r="3" spans="1:4">
      <c r="A3" t="s">
        <v>55</v>
      </c>
      <c r="B3" t="s">
        <v>260</v>
      </c>
      <c r="C3" t="s">
        <v>261</v>
      </c>
      <c r="D3" s="2">
        <v>2</v>
      </c>
    </row>
    <row r="4" spans="1:4">
      <c r="A4" t="s">
        <v>39</v>
      </c>
      <c r="B4" t="s">
        <v>262</v>
      </c>
      <c r="C4" t="s">
        <v>263</v>
      </c>
      <c r="D4" s="2">
        <v>2</v>
      </c>
    </row>
    <row r="5" spans="1:4">
      <c r="A5" t="s">
        <v>30</v>
      </c>
      <c r="B5" t="s">
        <v>264</v>
      </c>
      <c r="C5" t="s">
        <v>265</v>
      </c>
      <c r="D5" s="2">
        <v>2</v>
      </c>
    </row>
    <row r="6" spans="1:3">
      <c r="A6" t="s">
        <v>266</v>
      </c>
      <c r="B6" t="s">
        <v>267</v>
      </c>
      <c r="C6" t="s">
        <v>268</v>
      </c>
    </row>
  </sheetData>
  <pageMargins left="0.699305555555556" right="0.699305555555556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2026-09-02T07:10:04Z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