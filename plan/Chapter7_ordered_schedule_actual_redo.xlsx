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7" documentId="11_694932E1AE62AEE853A2737DE850B75DE210EBCF" xr6:coauthVersionLast="47" xr6:coauthVersionMax="47" xr10:uidLastSave="{D8372600-3BD6-4E8F-8A6C-09DD99FE512F}"/>
  <bookViews>
    <workbookView xWindow="29790" yWindow="2820" windowWidth="21600" windowHeight="11295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4" i="2"/>
  <c r="B13" i="2"/>
  <c r="B12" i="2"/>
  <c r="B10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O29" i="1"/>
  <c r="O28" i="1"/>
  <c r="O27" i="1"/>
  <c r="L27" i="1"/>
  <c r="O26" i="1"/>
  <c r="L26" i="1"/>
  <c r="O25" i="1"/>
  <c r="L25" i="1"/>
  <c r="O24" i="1"/>
  <c r="O23" i="1"/>
  <c r="O22" i="1"/>
  <c r="O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O12" i="1"/>
  <c r="L12" i="1"/>
  <c r="O11" i="1"/>
  <c r="L11" i="1"/>
  <c r="O10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</calcChain>
</file>

<file path=xl/sharedStrings.xml><?xml version="1.0" encoding="utf-8"?>
<sst xmlns="http://schemas.openxmlformats.org/spreadsheetml/2006/main" count="513" uniqueCount="268">
  <si>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</si>
  <si>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</si>
  <si>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</si>
  <si>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</si>
  <si>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</si>
  <si>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</si>
  <si>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</si>
  <si>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</si>
  <si>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</si>
  <si>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</si>
  <si>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</si>
  <si>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</si>
  <si>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</si>
  <si>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</si>
  <si>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</si>
  <si>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</si>
  <si>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</si>
  <si>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</si>
  <si>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</si>
  <si>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</si>
  <si>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</si>
  <si>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</si>
  <si>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</si>
  <si>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</si>
  <si>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</si>
  <si>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</si>
  <si>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</si>
  <si>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</si>
  <si>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</si>
  <si>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</si>
  <si>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</si>
  <si>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</si>
  <si>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</si>
  <si>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</si>
  <si>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</si>
  <si>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</si>
  <si>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</si>
  <si>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</si>
  <si>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</si>
  <si>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</si>
  <si>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</si>
  <si>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</si>
  <si>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</si>
  <si>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</si>
  <si>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</si>
  <si>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</si>
  <si>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</si>
  <si>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</si>
  <si>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</si>
  <si>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</si>
  <si>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</si>
  <si>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</si>
  <si>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</si>
  <si>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</si>
  <si>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</si>
  <si>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</si>
  <si>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</si>
  <si>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</si>
  <si>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</si>
  <si>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</si>
  <si>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</si>
  <si>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</si>
  <si>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</si>
  <si>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</si>
  <si>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</si>
  <si>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</si>
  <si>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</si>
  <si>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</si>
  <si>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</si>
  <si>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</si>
  <si>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</si>
  <si>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</si>
  <si>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</si>
  <si>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</si>
  <si>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</si>
  <si>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</si>
  <si>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</si>
  <si>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</si>
  <si>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</si>
  <si>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</si>
  <si>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</si>
  <si>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</si>
  <si>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</si>
  <si>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</si>
  <si>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</si>
  <si>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</si>
  <si>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</si>
  <si>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</si>
  <si>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</si>
  <si>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</si>
  <si>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</si>
  <si>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</si>
  <si>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</si>
  <si>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</si>
  <si>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</si>
  <si>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</si>
  <si>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</si>
  <si>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</si>
  <si>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</si>
  <si>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</si>
  <si>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</si>
  <si>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</si>
  <si>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</si>
  <si>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</si>
  <si>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</si>
  <si>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</si>
  <si>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</si>
  <si>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</si>
  <si>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</si>
  <si>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</si>
  <si>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</si>
  <si>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</si>
  <si>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</si>
  <si>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</si>
  <si>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</si>
  <si>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</si>
  <si>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</si>
  <si>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</si>
  <si>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</si>
  <si>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</si>
  <si>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</si>
  <si>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2026-7-20 redo2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</si>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</sst>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8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8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G47" zoomScale="85" zoomScaleNormal="85" workbookViewId="0">
      <selection activeCell="P50" sqref="P50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54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54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 ht="27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 ht="27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 ht="27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spans="1:19" ht="27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spans="1:19" ht="54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spans="1:19" ht="40.5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40.5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spans="1:19" ht="40.5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spans="1:19" ht="40.5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spans="1:19" ht="67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40.5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40.5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spans="1:19" ht="27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spans="1:19" ht="40.5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 t="s">
        <v>121</v>
      </c>
      <c r="S27" s="4"/>
    </row>
    <row r="28" spans="1:19" ht="40.5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122</v>
      </c>
      <c r="G28" s="6"/>
      <c r="H28" s="6" t="s">
        <v>123</v>
      </c>
      <c r="I28" s="6" t="s">
        <v>124</v>
      </c>
      <c r="J28" s="6" t="s">
        <v>125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54">
      <c r="A29" s="6">
        <v>28</v>
      </c>
      <c r="B29" s="7">
        <v>46204</v>
      </c>
      <c r="C29" s="6" t="s">
        <v>19</v>
      </c>
      <c r="D29" s="6" t="s">
        <v>126</v>
      </c>
      <c r="E29" s="6" t="s">
        <v>73</v>
      </c>
      <c r="F29" s="6" t="s">
        <v>127</v>
      </c>
      <c r="G29" s="6"/>
      <c r="H29" s="6"/>
      <c r="I29" s="6" t="s">
        <v>128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40.5">
      <c r="A30" s="6">
        <v>29</v>
      </c>
      <c r="B30" s="7">
        <v>46205</v>
      </c>
      <c r="C30" s="6" t="s">
        <v>19</v>
      </c>
      <c r="D30" s="6" t="s">
        <v>126</v>
      </c>
      <c r="E30" s="6" t="s">
        <v>129</v>
      </c>
      <c r="F30" s="6" t="s">
        <v>130</v>
      </c>
      <c r="G30" s="6"/>
      <c r="H30" s="6"/>
      <c r="I30" s="6" t="s">
        <v>131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126</v>
      </c>
      <c r="E31" s="6" t="s">
        <v>132</v>
      </c>
      <c r="F31" s="6" t="s">
        <v>133</v>
      </c>
      <c r="G31" s="6" t="s">
        <v>134</v>
      </c>
      <c r="H31" s="6" t="s">
        <v>135</v>
      </c>
      <c r="I31" s="6" t="s">
        <v>136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126</v>
      </c>
      <c r="E32" s="6" t="s">
        <v>132</v>
      </c>
      <c r="F32" s="6" t="s">
        <v>137</v>
      </c>
      <c r="G32" s="6" t="s">
        <v>138</v>
      </c>
      <c r="H32" s="6" t="s">
        <v>139</v>
      </c>
      <c r="I32" s="6" t="s">
        <v>136</v>
      </c>
      <c r="J32" s="6"/>
      <c r="K32" s="7">
        <v>46222</v>
      </c>
      <c r="L32" s="7">
        <f t="shared" si="0"/>
        <v>46224</v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>
        <v>46224</v>
      </c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126</v>
      </c>
      <c r="E33" s="6" t="s">
        <v>132</v>
      </c>
      <c r="F33" s="6" t="s">
        <v>140</v>
      </c>
      <c r="G33" s="6" t="s">
        <v>141</v>
      </c>
      <c r="H33" s="6" t="s">
        <v>142</v>
      </c>
      <c r="I33" s="6" t="s">
        <v>136</v>
      </c>
      <c r="J33" s="6"/>
      <c r="K33" s="7">
        <v>46223</v>
      </c>
      <c r="L33" s="7">
        <f t="shared" si="0"/>
        <v>46225</v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>
        <v>46225</v>
      </c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126</v>
      </c>
      <c r="E34" s="6" t="s">
        <v>132</v>
      </c>
      <c r="F34" s="6" t="s">
        <v>143</v>
      </c>
      <c r="G34" s="6" t="s">
        <v>144</v>
      </c>
      <c r="H34" s="6" t="s">
        <v>145</v>
      </c>
      <c r="I34" s="6" t="s">
        <v>136</v>
      </c>
      <c r="J34" s="6"/>
      <c r="K34" s="7">
        <v>46224</v>
      </c>
      <c r="L34" s="7">
        <f t="shared" ref="L34:L64" si="1">IF($P34&lt;&gt;"",$P34,"")</f>
        <v>46226</v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>
        <v>46226</v>
      </c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126</v>
      </c>
      <c r="E35" s="6" t="s">
        <v>132</v>
      </c>
      <c r="F35" s="6" t="s">
        <v>146</v>
      </c>
      <c r="G35" s="6" t="s">
        <v>147</v>
      </c>
      <c r="H35" s="6" t="s">
        <v>148</v>
      </c>
      <c r="I35" s="6" t="s">
        <v>136</v>
      </c>
      <c r="J35" s="6"/>
      <c r="K35" s="7">
        <v>46225</v>
      </c>
      <c r="L35" s="7">
        <f t="shared" si="1"/>
        <v>46227</v>
      </c>
      <c r="M35" s="6" t="s">
        <v>39</v>
      </c>
      <c r="N35" s="6"/>
      <c r="O35" s="7">
        <f>IF(AND($C35="Exercise",$K35&lt;&gt;"",$M35&lt;&gt;""),$K35+VLOOKUP($M35,'Redo Rules'!$A$2:$D$5,4,FALSE),"")</f>
        <v>46227</v>
      </c>
      <c r="P35" s="7">
        <v>46227</v>
      </c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126</v>
      </c>
      <c r="E36" s="6" t="s">
        <v>132</v>
      </c>
      <c r="F36" s="6" t="s">
        <v>149</v>
      </c>
      <c r="G36" s="6" t="s">
        <v>150</v>
      </c>
      <c r="H36" s="6" t="s">
        <v>151</v>
      </c>
      <c r="I36" s="6" t="s">
        <v>136</v>
      </c>
      <c r="J36" s="6"/>
      <c r="K36" s="7">
        <v>46226</v>
      </c>
      <c r="L36" s="7">
        <f t="shared" si="1"/>
        <v>46231</v>
      </c>
      <c r="M36" s="6" t="s">
        <v>55</v>
      </c>
      <c r="N36" s="6"/>
      <c r="O36" s="7">
        <f>IF(AND($C36="Exercise",$K36&lt;&gt;"",$M36&lt;&gt;""),$K36+VLOOKUP($M36,'Redo Rules'!$A$2:$D$5,4,FALSE),"")</f>
        <v>46228</v>
      </c>
      <c r="P36" s="7">
        <v>46231</v>
      </c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126</v>
      </c>
      <c r="E37" s="6" t="s">
        <v>132</v>
      </c>
      <c r="F37" s="6" t="s">
        <v>152</v>
      </c>
      <c r="G37" s="6" t="s">
        <v>153</v>
      </c>
      <c r="H37" s="6" t="s">
        <v>154</v>
      </c>
      <c r="I37" s="6" t="s">
        <v>136</v>
      </c>
      <c r="J37" s="6"/>
      <c r="K37" s="7">
        <v>46227</v>
      </c>
      <c r="L37" s="7">
        <f t="shared" si="1"/>
        <v>46231</v>
      </c>
      <c r="M37" s="6" t="s">
        <v>30</v>
      </c>
      <c r="N37" s="6"/>
      <c r="O37" s="7">
        <f>IF(AND($C37="Exercise",$K37&lt;&gt;"",$M37&lt;&gt;""),$K37+VLOOKUP($M37,'Redo Rules'!$A$2:$D$5,4,FALSE),"")</f>
        <v>46229</v>
      </c>
      <c r="P37" s="7">
        <v>46231</v>
      </c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126</v>
      </c>
      <c r="E38" s="6" t="s">
        <v>132</v>
      </c>
      <c r="F38" s="6" t="s">
        <v>155</v>
      </c>
      <c r="G38" s="6" t="s">
        <v>156</v>
      </c>
      <c r="H38" s="6" t="s">
        <v>148</v>
      </c>
      <c r="I38" s="6" t="s">
        <v>136</v>
      </c>
      <c r="J38" s="6"/>
      <c r="K38" s="7">
        <v>46229</v>
      </c>
      <c r="L38" s="7" t="str">
        <f t="shared" si="1"/>
        <v/>
      </c>
      <c r="M38" s="6" t="s">
        <v>39</v>
      </c>
      <c r="N38" s="6"/>
      <c r="O38" s="7">
        <f>IF(AND($C38="Exercise",$K38&lt;&gt;"",$M38&lt;&gt;""),$K38+VLOOKUP($M38,'Redo Rules'!$A$2:$D$5,4,FALSE),"")</f>
        <v>46231</v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126</v>
      </c>
      <c r="E39" s="6" t="s">
        <v>132</v>
      </c>
      <c r="F39" s="6" t="s">
        <v>157</v>
      </c>
      <c r="G39" s="6" t="s">
        <v>158</v>
      </c>
      <c r="H39" s="6" t="s">
        <v>159</v>
      </c>
      <c r="I39" s="6" t="s">
        <v>136</v>
      </c>
      <c r="J39" s="6"/>
      <c r="K39" s="7">
        <v>46231</v>
      </c>
      <c r="L39" s="7">
        <f t="shared" si="1"/>
        <v>46235</v>
      </c>
      <c r="M39" s="6" t="s">
        <v>55</v>
      </c>
      <c r="N39" s="6"/>
      <c r="O39" s="7">
        <f>IF(AND($C39="Exercise",$K39&lt;&gt;"",$M39&lt;&gt;""),$K39+VLOOKUP($M39,'Redo Rules'!$A$2:$D$5,4,FALSE),"")</f>
        <v>46233</v>
      </c>
      <c r="P39" s="7">
        <v>46235</v>
      </c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126</v>
      </c>
      <c r="E40" s="6" t="s">
        <v>132</v>
      </c>
      <c r="F40" s="6" t="s">
        <v>160</v>
      </c>
      <c r="G40" s="6" t="s">
        <v>161</v>
      </c>
      <c r="H40" s="6" t="s">
        <v>162</v>
      </c>
      <c r="I40" s="6" t="s">
        <v>136</v>
      </c>
      <c r="J40" s="6"/>
      <c r="K40" s="7">
        <v>46234</v>
      </c>
      <c r="L40" s="7" t="str">
        <f t="shared" si="1"/>
        <v/>
      </c>
      <c r="M40" s="6" t="s">
        <v>30</v>
      </c>
      <c r="N40" s="6"/>
      <c r="O40" s="7">
        <f>IF(AND($C40="Exercise",$K40&lt;&gt;"",$M40&lt;&gt;""),$K40+VLOOKUP($M40,'Redo Rules'!$A$2:$D$5,4,FALSE),"")</f>
        <v>46236</v>
      </c>
      <c r="P40" s="7"/>
      <c r="Q40" s="6"/>
      <c r="R40" s="6"/>
      <c r="S40" s="4"/>
    </row>
    <row r="41" spans="1:19" ht="54">
      <c r="A41" s="6">
        <v>40</v>
      </c>
      <c r="B41" s="7">
        <v>46216</v>
      </c>
      <c r="C41" s="6" t="s">
        <v>60</v>
      </c>
      <c r="D41" s="6" t="s">
        <v>126</v>
      </c>
      <c r="E41" s="6" t="s">
        <v>132</v>
      </c>
      <c r="F41" s="6" t="s">
        <v>163</v>
      </c>
      <c r="G41" s="6"/>
      <c r="H41" s="6" t="s">
        <v>164</v>
      </c>
      <c r="I41" s="6" t="s">
        <v>165</v>
      </c>
      <c r="J41" s="6" t="s">
        <v>166</v>
      </c>
      <c r="K41" s="7">
        <v>46235</v>
      </c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54">
      <c r="A42" s="6">
        <v>41</v>
      </c>
      <c r="B42" s="7">
        <v>46217</v>
      </c>
      <c r="C42" s="6" t="s">
        <v>19</v>
      </c>
      <c r="D42" s="6" t="s">
        <v>167</v>
      </c>
      <c r="E42" s="6" t="s">
        <v>168</v>
      </c>
      <c r="F42" s="6" t="s">
        <v>169</v>
      </c>
      <c r="G42" s="6"/>
      <c r="H42" s="6"/>
      <c r="I42" s="6" t="s">
        <v>170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167</v>
      </c>
      <c r="E43" s="6" t="s">
        <v>171</v>
      </c>
      <c r="F43" s="6" t="s">
        <v>172</v>
      </c>
      <c r="G43" s="6"/>
      <c r="H43" s="6"/>
      <c r="I43" s="6" t="s">
        <v>173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167</v>
      </c>
      <c r="E44" s="6" t="s">
        <v>174</v>
      </c>
      <c r="F44" s="6" t="s">
        <v>175</v>
      </c>
      <c r="G44" s="6" t="s">
        <v>168</v>
      </c>
      <c r="H44" s="6" t="s">
        <v>176</v>
      </c>
      <c r="I44" s="6" t="s">
        <v>177</v>
      </c>
      <c r="J44" s="6"/>
      <c r="K44" s="7">
        <v>46242</v>
      </c>
      <c r="L44" s="7">
        <f t="shared" si="1"/>
        <v>46244</v>
      </c>
      <c r="M44" s="6" t="s">
        <v>39</v>
      </c>
      <c r="N44" s="6"/>
      <c r="O44" s="7">
        <f>IF(AND($C44="Exercise",$K44&lt;&gt;"",$M44&lt;&gt;""),$K44+VLOOKUP($M44,'Redo Rules'!$A$2:$D$5,4,FALSE),"")</f>
        <v>46244</v>
      </c>
      <c r="P44" s="7">
        <v>46244</v>
      </c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167</v>
      </c>
      <c r="E45" s="6" t="s">
        <v>174</v>
      </c>
      <c r="F45" s="6" t="s">
        <v>178</v>
      </c>
      <c r="G45" s="6" t="s">
        <v>179</v>
      </c>
      <c r="H45" s="6" t="s">
        <v>180</v>
      </c>
      <c r="I45" s="6" t="s">
        <v>177</v>
      </c>
      <c r="J45" s="6"/>
      <c r="K45" s="7">
        <v>46243</v>
      </c>
      <c r="L45" s="7">
        <f t="shared" si="1"/>
        <v>46245</v>
      </c>
      <c r="M45" s="6" t="s">
        <v>39</v>
      </c>
      <c r="N45" s="6"/>
      <c r="O45" s="7">
        <f>IF(AND($C45="Exercise",$K45&lt;&gt;"",$M45&lt;&gt;""),$K45+VLOOKUP($M45,'Redo Rules'!$A$2:$D$5,4,FALSE),"")</f>
        <v>46245</v>
      </c>
      <c r="P45" s="7">
        <v>46245</v>
      </c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167</v>
      </c>
      <c r="E46" s="6" t="s">
        <v>174</v>
      </c>
      <c r="F46" s="6" t="s">
        <v>181</v>
      </c>
      <c r="G46" s="6" t="s">
        <v>182</v>
      </c>
      <c r="H46" s="6" t="s">
        <v>176</v>
      </c>
      <c r="I46" s="6" t="s">
        <v>177</v>
      </c>
      <c r="J46" s="6"/>
      <c r="K46" s="7">
        <v>46244</v>
      </c>
      <c r="L46" s="7">
        <f t="shared" si="1"/>
        <v>46246</v>
      </c>
      <c r="M46" s="6" t="s">
        <v>39</v>
      </c>
      <c r="N46" s="6"/>
      <c r="O46" s="7">
        <f>IF(AND($C46="Exercise",$K46&lt;&gt;"",$M46&lt;&gt;""),$K46+VLOOKUP($M46,'Redo Rules'!$A$2:$D$5,4,FALSE),"")</f>
        <v>46246</v>
      </c>
      <c r="P46" s="7">
        <v>46246</v>
      </c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167</v>
      </c>
      <c r="E47" s="6" t="s">
        <v>174</v>
      </c>
      <c r="F47" s="6" t="s">
        <v>183</v>
      </c>
      <c r="G47" s="6" t="s">
        <v>184</v>
      </c>
      <c r="H47" s="6" t="s">
        <v>185</v>
      </c>
      <c r="I47" s="6" t="s">
        <v>177</v>
      </c>
      <c r="J47" s="6"/>
      <c r="K47" s="7">
        <v>46245</v>
      </c>
      <c r="L47" s="7">
        <f t="shared" si="1"/>
        <v>46247</v>
      </c>
      <c r="M47" s="6" t="s">
        <v>39</v>
      </c>
      <c r="N47" s="6"/>
      <c r="O47" s="7">
        <f>IF(AND($C47="Exercise",$K47&lt;&gt;"",$M47&lt;&gt;""),$K47+VLOOKUP($M47,'Redo Rules'!$A$2:$D$5,4,FALSE),"")</f>
        <v>46247</v>
      </c>
      <c r="P47" s="7">
        <v>46247</v>
      </c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167</v>
      </c>
      <c r="E48" s="6" t="s">
        <v>174</v>
      </c>
      <c r="F48" s="6" t="s">
        <v>186</v>
      </c>
      <c r="G48" s="6" t="s">
        <v>187</v>
      </c>
      <c r="H48" s="6" t="s">
        <v>188</v>
      </c>
      <c r="I48" s="6" t="s">
        <v>177</v>
      </c>
      <c r="J48" s="6"/>
      <c r="K48" s="7">
        <v>46246</v>
      </c>
      <c r="L48" s="7">
        <f t="shared" si="1"/>
        <v>46248</v>
      </c>
      <c r="M48" s="6" t="s">
        <v>39</v>
      </c>
      <c r="N48" s="6"/>
      <c r="O48" s="7">
        <f>IF(AND($C48="Exercise",$K48&lt;&gt;"",$M48&lt;&gt;""),$K48+VLOOKUP($M48,'Redo Rules'!$A$2:$D$5,4,FALSE),"")</f>
        <v>46248</v>
      </c>
      <c r="P48" s="7">
        <v>46248</v>
      </c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167</v>
      </c>
      <c r="E49" s="6" t="s">
        <v>174</v>
      </c>
      <c r="F49" s="6" t="s">
        <v>189</v>
      </c>
      <c r="G49" s="6" t="s">
        <v>190</v>
      </c>
      <c r="H49" s="6" t="s">
        <v>191</v>
      </c>
      <c r="I49" s="6" t="s">
        <v>177</v>
      </c>
      <c r="J49" s="6"/>
      <c r="K49" s="7">
        <v>46247</v>
      </c>
      <c r="L49" s="7">
        <f t="shared" si="1"/>
        <v>46249</v>
      </c>
      <c r="M49" s="6" t="s">
        <v>30</v>
      </c>
      <c r="N49" s="6"/>
      <c r="O49" s="7">
        <f>IF(AND($C49="Exercise",$K49&lt;&gt;"",$M49&lt;&gt;""),$K49+VLOOKUP($M49,'Redo Rules'!$A$2:$D$5,4,FALSE),"")</f>
        <v>46249</v>
      </c>
      <c r="P49" s="7">
        <v>46249</v>
      </c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167</v>
      </c>
      <c r="E50" s="6" t="s">
        <v>174</v>
      </c>
      <c r="F50" s="6" t="s">
        <v>192</v>
      </c>
      <c r="G50" s="6" t="s">
        <v>193</v>
      </c>
      <c r="H50" s="6" t="s">
        <v>194</v>
      </c>
      <c r="I50" s="6" t="s">
        <v>177</v>
      </c>
      <c r="J50" s="6"/>
      <c r="K50" s="7">
        <v>46248</v>
      </c>
      <c r="L50" s="7" t="str">
        <f t="shared" si="1"/>
        <v/>
      </c>
      <c r="M50" s="6" t="s">
        <v>39</v>
      </c>
      <c r="N50" s="6"/>
      <c r="O50" s="7">
        <f>IF(AND($C50="Exercise",$K50&lt;&gt;"",$M50&lt;&gt;""),$K50+VLOOKUP($M50,'Redo Rules'!$A$2:$D$5,4,FALSE),"")</f>
        <v>46250</v>
      </c>
      <c r="P50" s="7"/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167</v>
      </c>
      <c r="E51" s="6" t="s">
        <v>174</v>
      </c>
      <c r="F51" s="6" t="s">
        <v>195</v>
      </c>
      <c r="G51" s="6" t="s">
        <v>196</v>
      </c>
      <c r="H51" s="6" t="s">
        <v>197</v>
      </c>
      <c r="I51" s="6" t="s">
        <v>177</v>
      </c>
      <c r="J51" s="6"/>
      <c r="K51" s="7">
        <v>46248</v>
      </c>
      <c r="L51" s="7" t="str">
        <f t="shared" si="1"/>
        <v/>
      </c>
      <c r="M51" s="6" t="s">
        <v>30</v>
      </c>
      <c r="N51" s="6"/>
      <c r="O51" s="7">
        <f>IF(AND($C51="Exercise",$K51&lt;&gt;"",$M51&lt;&gt;""),$K51+VLOOKUP($M51,'Redo Rules'!$A$2:$D$5,4,FALSE),"")</f>
        <v>46250</v>
      </c>
      <c r="P51" s="7"/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167</v>
      </c>
      <c r="E52" s="6" t="s">
        <v>174</v>
      </c>
      <c r="F52" s="6" t="s">
        <v>198</v>
      </c>
      <c r="G52" s="6" t="s">
        <v>199</v>
      </c>
      <c r="H52" s="6" t="s">
        <v>200</v>
      </c>
      <c r="I52" s="6" t="s">
        <v>177</v>
      </c>
      <c r="J52" s="6"/>
      <c r="K52" s="7">
        <v>46249</v>
      </c>
      <c r="L52" s="7" t="str">
        <f t="shared" si="1"/>
        <v/>
      </c>
      <c r="M52" s="6" t="s">
        <v>30</v>
      </c>
      <c r="N52" s="6"/>
      <c r="O52" s="7">
        <f>IF(AND($C52="Exercise",$K52&lt;&gt;"",$M52&lt;&gt;""),$K52+VLOOKUP($M52,'Redo Rules'!$A$2:$D$5,4,FALSE),"")</f>
        <v>46251</v>
      </c>
      <c r="P52" s="7"/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167</v>
      </c>
      <c r="E53" s="6" t="s">
        <v>174</v>
      </c>
      <c r="F53" s="6" t="s">
        <v>201</v>
      </c>
      <c r="G53" s="6" t="s">
        <v>202</v>
      </c>
      <c r="H53" s="6" t="s">
        <v>176</v>
      </c>
      <c r="I53" s="6" t="s">
        <v>177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167</v>
      </c>
      <c r="E54" s="6" t="s">
        <v>174</v>
      </c>
      <c r="F54" s="6" t="s">
        <v>203</v>
      </c>
      <c r="G54" s="6" t="s">
        <v>204</v>
      </c>
      <c r="H54" s="6" t="s">
        <v>194</v>
      </c>
      <c r="I54" s="6" t="s">
        <v>177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167</v>
      </c>
      <c r="E55" s="6" t="s">
        <v>174</v>
      </c>
      <c r="F55" s="6" t="s">
        <v>205</v>
      </c>
      <c r="G55" s="6" t="s">
        <v>206</v>
      </c>
      <c r="H55" s="6" t="s">
        <v>176</v>
      </c>
      <c r="I55" s="6" t="s">
        <v>177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54">
      <c r="A56" s="6">
        <v>55</v>
      </c>
      <c r="B56" s="7">
        <v>46231</v>
      </c>
      <c r="C56" s="6" t="s">
        <v>60</v>
      </c>
      <c r="D56" s="6" t="s">
        <v>167</v>
      </c>
      <c r="E56" s="6" t="s">
        <v>174</v>
      </c>
      <c r="F56" s="6" t="s">
        <v>207</v>
      </c>
      <c r="G56" s="6"/>
      <c r="H56" s="6" t="s">
        <v>208</v>
      </c>
      <c r="I56" s="6" t="s">
        <v>209</v>
      </c>
      <c r="J56" s="6" t="s">
        <v>210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67.5">
      <c r="A57" s="6">
        <v>56</v>
      </c>
      <c r="B57" s="7">
        <v>46232</v>
      </c>
      <c r="C57" s="6" t="s">
        <v>19</v>
      </c>
      <c r="D57" s="6" t="s">
        <v>211</v>
      </c>
      <c r="E57" s="6" t="s">
        <v>212</v>
      </c>
      <c r="F57" s="6" t="s">
        <v>213</v>
      </c>
      <c r="G57" s="6"/>
      <c r="H57" s="6"/>
      <c r="I57" s="6" t="s">
        <v>214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40.5">
      <c r="A58" s="6">
        <v>57</v>
      </c>
      <c r="B58" s="7">
        <v>46233</v>
      </c>
      <c r="C58" s="6" t="s">
        <v>6</v>
      </c>
      <c r="D58" s="6" t="s">
        <v>211</v>
      </c>
      <c r="E58" s="6" t="s">
        <v>215</v>
      </c>
      <c r="F58" s="6" t="s">
        <v>216</v>
      </c>
      <c r="G58" s="6" t="s">
        <v>217</v>
      </c>
      <c r="H58" s="6" t="s">
        <v>218</v>
      </c>
      <c r="I58" s="6" t="s">
        <v>219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211</v>
      </c>
      <c r="E59" s="6" t="s">
        <v>215</v>
      </c>
      <c r="F59" s="6" t="s">
        <v>220</v>
      </c>
      <c r="G59" s="6" t="s">
        <v>221</v>
      </c>
      <c r="H59" s="6" t="s">
        <v>222</v>
      </c>
      <c r="I59" s="6" t="s">
        <v>219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211</v>
      </c>
      <c r="E60" s="6" t="s">
        <v>215</v>
      </c>
      <c r="F60" s="6" t="s">
        <v>223</v>
      </c>
      <c r="G60" s="6" t="s">
        <v>224</v>
      </c>
      <c r="H60" s="6" t="s">
        <v>225</v>
      </c>
      <c r="I60" s="6" t="s">
        <v>219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211</v>
      </c>
      <c r="E61" s="6" t="s">
        <v>215</v>
      </c>
      <c r="F61" s="6" t="s">
        <v>226</v>
      </c>
      <c r="G61" s="6" t="s">
        <v>227</v>
      </c>
      <c r="H61" s="6" t="s">
        <v>228</v>
      </c>
      <c r="I61" s="6" t="s">
        <v>219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211</v>
      </c>
      <c r="E62" s="6" t="s">
        <v>215</v>
      </c>
      <c r="F62" s="6" t="s">
        <v>229</v>
      </c>
      <c r="G62" s="6" t="s">
        <v>230</v>
      </c>
      <c r="H62" s="6" t="s">
        <v>231</v>
      </c>
      <c r="I62" s="6" t="s">
        <v>219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54">
      <c r="A63" s="6">
        <v>62</v>
      </c>
      <c r="B63" s="7">
        <v>46238</v>
      </c>
      <c r="C63" s="6" t="s">
        <v>232</v>
      </c>
      <c r="D63" s="6" t="s">
        <v>233</v>
      </c>
      <c r="E63" s="6" t="s">
        <v>234</v>
      </c>
      <c r="F63" s="6" t="s">
        <v>235</v>
      </c>
      <c r="G63" s="6"/>
      <c r="H63" s="6"/>
      <c r="I63" s="6" t="s">
        <v>236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54">
      <c r="A64" s="6">
        <v>63</v>
      </c>
      <c r="B64" s="7">
        <v>46239</v>
      </c>
      <c r="C64" s="6" t="s">
        <v>232</v>
      </c>
      <c r="D64" s="6" t="s">
        <v>233</v>
      </c>
      <c r="E64" s="6" t="s">
        <v>234</v>
      </c>
      <c r="F64" s="6" t="s">
        <v>237</v>
      </c>
      <c r="G64" s="6"/>
      <c r="H64" s="6"/>
      <c r="I64" s="6" t="s">
        <v>238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69930555555555596" right="0.69930555555555596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239</v>
      </c>
      <c r="B1" s="1"/>
    </row>
    <row r="2" spans="1:2" ht="27">
      <c r="A2" s="3" t="s">
        <v>240</v>
      </c>
      <c r="B2" s="3" t="s">
        <v>241</v>
      </c>
    </row>
    <row r="3" spans="1:2">
      <c r="A3" s="4"/>
      <c r="B3" s="4"/>
    </row>
    <row r="4" spans="1:2">
      <c r="A4" s="5" t="s">
        <v>242</v>
      </c>
      <c r="B4" s="4">
        <f>COUNTA('Master Schedule'!$A$2:$A$64)</f>
        <v>63</v>
      </c>
    </row>
    <row r="5" spans="1:2">
      <c r="A5" s="5" t="s">
        <v>243</v>
      </c>
      <c r="B5" s="4">
        <f>COUNTIF('Master Schedule'!$C$2:$C$64,"Read")</f>
        <v>10</v>
      </c>
    </row>
    <row r="6" spans="1:2">
      <c r="A6" s="5" t="s">
        <v>244</v>
      </c>
      <c r="B6" s="4">
        <f>COUNTIF('Master Schedule'!$C$2:$C$64,"Exercise")</f>
        <v>46</v>
      </c>
    </row>
    <row r="7" spans="1:2">
      <c r="A7" s="5" t="s">
        <v>245</v>
      </c>
      <c r="B7" s="4">
        <f>COUNTIF('Master Schedule'!$C$2:$C$64,"Gate")</f>
        <v>5</v>
      </c>
    </row>
    <row r="8" spans="1:2">
      <c r="A8" s="5" t="s">
        <v>246</v>
      </c>
      <c r="B8" s="4">
        <f>COUNTIF('Master Schedule'!$C$2:$C$64,"Summary")</f>
        <v>2</v>
      </c>
    </row>
    <row r="9" spans="1:2" ht="27">
      <c r="A9" s="5" t="s">
        <v>247</v>
      </c>
      <c r="B9" s="4">
        <f>COUNTIF('Master Schedule'!$P$2:$P$64,"&gt;0")</f>
        <v>33</v>
      </c>
    </row>
    <row r="10" spans="1:2" ht="27">
      <c r="A10" s="5" t="s">
        <v>248</v>
      </c>
      <c r="B10" s="4">
        <f ca="1">COUNTIFS('Master Schedule'!$O$2:$O$64,"&lt;="&amp;TODAY(),'Master Schedule'!$O$2:$O$64,"&gt;0",'Master Schedule'!$Q$2:$Q$64,"&lt;&gt;Y")</f>
        <v>34</v>
      </c>
    </row>
    <row r="11" spans="1:2">
      <c r="A11" s="4"/>
      <c r="B11" s="4"/>
    </row>
    <row r="12" spans="1:2">
      <c r="A12" s="5" t="s">
        <v>249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8</v>
      </c>
    </row>
    <row r="14" spans="1:2">
      <c r="A14" s="5" t="s">
        <v>39</v>
      </c>
      <c r="B14" s="4">
        <f>COUNTIF('Master Schedule'!$M$2:$M$64,"Skeleton")</f>
        <v>19</v>
      </c>
    </row>
    <row r="15" spans="1:2">
      <c r="A15" s="5" t="s">
        <v>30</v>
      </c>
      <c r="B15" s="4">
        <f>COUNTIF('Master Schedule'!$M$2:$M$64,"Crack it")</f>
        <v>11</v>
      </c>
    </row>
    <row r="16" spans="1:2">
      <c r="A16" s="4"/>
      <c r="B16" s="4"/>
    </row>
    <row r="17" spans="1:2" ht="27">
      <c r="A17" s="5" t="s">
        <v>250</v>
      </c>
      <c r="B17" s="4" t="s">
        <v>251</v>
      </c>
    </row>
    <row r="18" spans="1:2">
      <c r="A18" s="5" t="s">
        <v>252</v>
      </c>
      <c r="B18" s="4" t="s">
        <v>253</v>
      </c>
    </row>
  </sheetData>
  <phoneticPr fontId="4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254</v>
      </c>
      <c r="C1" s="1" t="s">
        <v>255</v>
      </c>
      <c r="D1" s="1" t="s">
        <v>256</v>
      </c>
    </row>
    <row r="2" spans="1:4">
      <c r="A2" t="s">
        <v>249</v>
      </c>
      <c r="B2" t="s">
        <v>257</v>
      </c>
      <c r="C2" t="s">
        <v>258</v>
      </c>
      <c r="D2" s="2">
        <v>1</v>
      </c>
    </row>
    <row r="3" spans="1:4">
      <c r="A3" t="s">
        <v>55</v>
      </c>
      <c r="B3" t="s">
        <v>259</v>
      </c>
      <c r="C3" t="s">
        <v>260</v>
      </c>
      <c r="D3" s="2">
        <v>2</v>
      </c>
    </row>
    <row r="4" spans="1:4">
      <c r="A4" t="s">
        <v>39</v>
      </c>
      <c r="B4" t="s">
        <v>261</v>
      </c>
      <c r="C4" t="s">
        <v>262</v>
      </c>
      <c r="D4" s="2">
        <v>2</v>
      </c>
    </row>
    <row r="5" spans="1:4">
      <c r="A5" t="s">
        <v>30</v>
      </c>
      <c r="B5" t="s">
        <v>263</v>
      </c>
      <c r="C5" t="s">
        <v>264</v>
      </c>
      <c r="D5" s="2">
        <v>2</v>
      </c>
    </row>
    <row r="6" spans="1:4">
      <c r="A6" t="s">
        <v>265</v>
      </c>
      <c r="B6" t="s">
        <v>266</v>
      </c>
      <c r="C6" t="s">
        <v>267</v>
      </c>
    </row>
  </sheetData>
  <phoneticPr fontId="4" type="noConversion"/>
  <pageMargins left="0.69930555555555596" right="0.69930555555555596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2026-08-15T03:04:41Z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