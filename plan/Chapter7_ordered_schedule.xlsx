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Master Schedule" sheetId="1" r:id="rId1"/>
    <sheet name="Dashboard" sheetId="2" r:id="rId2"/>
    <sheet name="Redo Rules" sheetId="3" r:id="rId3"/>
  </sheets>
  <calcPr calcId="144525"/>
</workbook>
</file>

<file path=xl/sharedStrings.xml><?xml version="1.0" encoding="utf-8"?>
<sst xmlns="http://schemas.openxmlformats.org/spreadsheetml/2006/main" count="483" uniqueCount="267">
  <si>
    <t>Order</t>
  </si>
  <si>
    <t>Planned Date</t>
  </si>
  <si>
    <t>Task Type</t>
  </si>
  <si>
    <t>Phase</t>
  </si>
  <si>
    <t>Section(s)</t>
  </si>
  <si>
    <t>Task</t>
  </si>
  <si>
    <t>Exercise</t>
  </si>
  <si>
    <t>Related Result / Reason</t>
  </si>
  <si>
    <t>Prerequisite</t>
  </si>
  <si>
    <t>Proceed Gate</t>
  </si>
  <si>
    <t>Actual Start</t>
  </si>
  <si>
    <t>Actual End</t>
  </si>
  <si>
    <t>First-pass Status</t>
  </si>
  <si>
    <t>Key Blocker</t>
  </si>
  <si>
    <t>Suggested Redo Date (auto)</t>
  </si>
  <si>
    <t>Redo Result</t>
  </si>
  <si>
    <t>Proceed?</t>
  </si>
  <si>
    <t>Notes</t>
  </si>
  <si>
    <t>Read</t>
  </si>
  <si>
    <t>A. WLLN foundation</t>
  </si>
  <si>
    <t>7.1</t>
  </si>
  <si>
    <t>Read: truncation and tail equivalence. Make a one-page note: what changes after truncation and what remains equivalent.</t>
  </si>
  <si>
    <t>Start of Chapter 7</t>
  </si>
  <si>
    <t>7.2</t>
  </si>
  <si>
    <t>Read: General WLLN theorem. Write conditions (7.2)–(7.4) as a checklist: big jumps, truncated variance, centering.</t>
  </si>
  <si>
    <t>7.1 read</t>
  </si>
  <si>
    <t>Do Exercise 2: sample variance consistency.</t>
  </si>
  <si>
    <t>7.2 General WLLN / Chebyshev logic</t>
  </si>
  <si>
    <t>Finish 7.1–7.2 reading</t>
  </si>
  <si>
    <t>Crack it</t>
  </si>
  <si>
    <t>Complete</t>
  </si>
  <si>
    <t>Do Exercise 3: occupancy problem.</t>
  </si>
  <si>
    <t>7.3</t>
  </si>
  <si>
    <t>7.2 WLLN / variance computation</t>
  </si>
  <si>
    <t>Exercise 2 attempted</t>
  </si>
  <si>
    <t>Skeleton</t>
  </si>
  <si>
    <t>Do Exercise 4: Monte Carlo integration interpretation.</t>
  </si>
  <si>
    <t>7.4</t>
  </si>
  <si>
    <t>7.2 WLLN + Chapter 5 integration</t>
  </si>
  <si>
    <t>Exercise 3 attempted</t>
  </si>
  <si>
    <t>A. WLLN applications</t>
  </si>
  <si>
    <t>Do Exercise 21: exponential/gamma approximation using WLLN.</t>
  </si>
  <si>
    <t>7.21</t>
  </si>
  <si>
    <t>7.2 WLLN</t>
  </si>
  <si>
    <t>Exercise 4 attempted</t>
  </si>
  <si>
    <t>Do Exercise 22: WLLN and inversion of Laplace transforms.</t>
  </si>
  <si>
    <t>7.22</t>
  </si>
  <si>
    <t>Exercise 21 attempted</t>
  </si>
  <si>
    <t>Do Exercise 23: cube approximated by annulus.</t>
  </si>
  <si>
    <t>7.23</t>
  </si>
  <si>
    <t>7.2 WLLN / iid uniform</t>
  </si>
  <si>
    <t>Exercise 22 attempted</t>
  </si>
  <si>
    <t>Do Exercise 27: further WLLN applications.</t>
  </si>
  <si>
    <t>7.27</t>
  </si>
  <si>
    <t>Exercise 23 attempted</t>
  </si>
  <si>
    <t>Do Exercise 28: uncorrelated WLLN.</t>
  </si>
  <si>
    <t>7.28</t>
  </si>
  <si>
    <t>7.2 WLLN / L2 convergence</t>
  </si>
  <si>
    <t>Exercise 27 attempted</t>
  </si>
  <si>
    <t>Gate</t>
  </si>
  <si>
    <t>7.1–7.2</t>
  </si>
  <si>
    <t>Proceed gate: can you state the WLLN checklist without looking? If not, redo reading notes before Block B.</t>
  </si>
  <si>
    <t>Gate before 7.3</t>
  </si>
  <si>
    <t>Exercises 2,3,4,21,22,23,27,28 attempted</t>
  </si>
  <si>
    <t>Proceed only if reading notes + at least first attempts are done</t>
  </si>
  <si>
    <t>B. a.s. convergence of sums</t>
  </si>
  <si>
    <t>Read: Skorohod inequality, Kolmogorov convergence criterion, and tail/convergence logic.</t>
  </si>
  <si>
    <t>Block A gate passed</t>
  </si>
  <si>
    <t>Do Exercise 1: random signs and convergence of series.</t>
  </si>
  <si>
    <t>7.3 series convergence / later 7.6 check</t>
  </si>
  <si>
    <t>7.3 read</t>
  </si>
  <si>
    <t>Do Exercise 5: L2 convergence and random signs.</t>
  </si>
  <si>
    <t>7.5</t>
  </si>
  <si>
    <t>7.3 convergence criterion</t>
  </si>
  <si>
    <t>Exercise 1 attempted</t>
  </si>
  <si>
    <t>Do Exercise 7: partial converse to Borel-Cantelli.</t>
  </si>
  <si>
    <t>7.7</t>
  </si>
  <si>
    <t>7.3 a.s. tools + Borel-Cantelli</t>
  </si>
  <si>
    <t>Exercise 5 attempted</t>
  </si>
  <si>
    <t>Do Exercise 34: normal sine series convergence.</t>
  </si>
  <si>
    <t>7.34</t>
  </si>
  <si>
    <t>7.3 Kolmogorov convergence criterion</t>
  </si>
  <si>
    <t>Exercise 7 attempted</t>
  </si>
  <si>
    <t>Do Exercise 38: Cantor distribution series.</t>
  </si>
  <si>
    <t>7.38</t>
  </si>
  <si>
    <t>7.3 almost sure convergence of series</t>
  </si>
  <si>
    <t>Exercise 34 attempted</t>
  </si>
  <si>
    <t>Do Exercise 41: bounded differences and variance condition.</t>
  </si>
  <si>
    <t>7.41</t>
  </si>
  <si>
    <t>Exercise 38 attempted</t>
  </si>
  <si>
    <t>Do Exercise 42: convergence from summable variances.</t>
  </si>
  <si>
    <t>7.42</t>
  </si>
  <si>
    <t>7.3 variance + Borel-Cantelli</t>
  </si>
  <si>
    <t>Exercise 41 attempted</t>
  </si>
  <si>
    <t>Proceed gate: distinguish convergence of a series from convergence of averages. Record which theorem you used for each exercise.</t>
  </si>
  <si>
    <t>Gate before SLLN</t>
  </si>
  <si>
    <t>Block B exercises attempted</t>
  </si>
  <si>
    <t>Proceed only if theorem usage is explicit</t>
  </si>
  <si>
    <t>C. SLLN mechanism</t>
  </si>
  <si>
    <t>Read: Kronecker lemma and the strong law route from convergence of weighted series to normalized sums.</t>
  </si>
  <si>
    <t>Block B gate passed</t>
  </si>
  <si>
    <t>7.4.1</t>
  </si>
  <si>
    <t>Read: two examples. Record how record counts and pure birth process use the preceding machinery.</t>
  </si>
  <si>
    <t>7.4 read</t>
  </si>
  <si>
    <t>Do Exercise 18: stronger normalization with sqrt(n) log n.</t>
  </si>
  <si>
    <t>7.18</t>
  </si>
  <si>
    <t>7.4 Kronecker / convergence criterion</t>
  </si>
  <si>
    <t>Do Exercise 31: Poisson sums normalized by expectation.</t>
  </si>
  <si>
    <t>7.31</t>
  </si>
  <si>
    <t>7.4 SLLN for independent non-iid</t>
  </si>
  <si>
    <t>Exercise 18 attempted</t>
  </si>
  <si>
    <t>Do Exercise 32: max of exponentials over log n.</t>
  </si>
  <si>
    <t>7.32</t>
  </si>
  <si>
    <t>7.4 examples + Borel-Cantelli</t>
  </si>
  <si>
    <t>Exercise 31 attempted</t>
  </si>
  <si>
    <t>Do Exercise 40: a.s. convergence criterion via probability and dyadic subsequence.</t>
  </si>
  <si>
    <t>7.40</t>
  </si>
  <si>
    <t>7.4 a.s. vs i.p. bridge</t>
  </si>
  <si>
    <t>Exercise 32 attempted</t>
  </si>
  <si>
    <t>Proceed gate: can you explain why Kronecker lemma is not just algebra but a device for SLLN?</t>
  </si>
  <si>
    <t>Gate before iid SLLN</t>
  </si>
  <si>
    <t>Block C exercises attempted</t>
  </si>
  <si>
    <t>Proceed only if Kronecker role is clear</t>
  </si>
  <si>
    <t>D. iid SLLN and applications</t>
  </si>
  <si>
    <t>Read: SLLN for iid sequences. Make an assumptions map: iid + integrability -&gt; a.s. average convergence.</t>
  </si>
  <si>
    <t>Block C gate passed</t>
  </si>
  <si>
    <t>7.5.1</t>
  </si>
  <si>
    <t>Read: applications of SLLN. Separate 'proof pattern' from 'application interpretation'.</t>
  </si>
  <si>
    <t>7.5 read</t>
  </si>
  <si>
    <t>7.5–7.5.1</t>
  </si>
  <si>
    <t>Do Exercise 8: SLLN plus L1 convergence via uniform integrability.</t>
  </si>
  <si>
    <t>7.8</t>
  </si>
  <si>
    <t>7.5 SLLN + Chapter 6 UI</t>
  </si>
  <si>
    <t>7.5–7.5.1 read or previous listed exercise attempted</t>
  </si>
  <si>
    <t>Do Exercise 9: bounded coefficient weighted average.</t>
  </si>
  <si>
    <t>7.9</t>
  </si>
  <si>
    <t>7.5 proof of SLLN</t>
  </si>
  <si>
    <t>Do Exercise 10: m-dependent sequence and block frequencies.</t>
  </si>
  <si>
    <t>7.10</t>
  </si>
  <si>
    <t>7.5 applications</t>
  </si>
  <si>
    <t>Do Exercise 12: iterative uniforms and log limit.</t>
  </si>
  <si>
    <t>7.12</t>
  </si>
  <si>
    <t>7.5 SLLN transformation</t>
  </si>
  <si>
    <t>Do Exercise 16: maximum term over sum with nonzero mean.</t>
  </si>
  <si>
    <t>7.16</t>
  </si>
  <si>
    <t>7.5 SLLN</t>
  </si>
  <si>
    <t>Do Exercise 35: one-sided infinite mean and truncation.</t>
  </si>
  <si>
    <t>7.35</t>
  </si>
  <si>
    <t>7.5 SLLN + truncation</t>
  </si>
  <si>
    <t>Do Exercise 39: independent indicators WLLN.</t>
  </si>
  <si>
    <t>7.39</t>
  </si>
  <si>
    <t>7.5 SLLN / WLLN</t>
  </si>
  <si>
    <t>Do Exercise 43: Bernoulli expansion distributions and singularity.</t>
  </si>
  <si>
    <t>7.43</t>
  </si>
  <si>
    <t>Do Exercise 44: likelihood ratio product.</t>
  </si>
  <si>
    <t>7.44</t>
  </si>
  <si>
    <t>7.5 SLLN on log likelihood ratio</t>
  </si>
  <si>
    <t>Do Exercise 45: entropy from matching probability.</t>
  </si>
  <si>
    <t>7.45</t>
  </si>
  <si>
    <t>7.5 SLLN / information interpretation</t>
  </si>
  <si>
    <t>Proceed gate: decide for each SLLN exercise whether it is direct SLLN, transformed SLLN, or truncation + SLLN.</t>
  </si>
  <si>
    <t>Gate before three-series</t>
  </si>
  <si>
    <t>Block D exercises attempted</t>
  </si>
  <si>
    <t>Proceed only if each exercise has a theorem label</t>
  </si>
  <si>
    <t>E. Three-series theorem</t>
  </si>
  <si>
    <t>7.6</t>
  </si>
  <si>
    <t>Read: sufficiency of Kolmogorov three-series theorem. Make a three-column checklist: large jumps, variances, means.</t>
  </si>
  <si>
    <t>Block D gate passed</t>
  </si>
  <si>
    <t>7.6.1</t>
  </si>
  <si>
    <t>Read: necessity proof. Mark which direction uses tail equivalence and which uses convergence criterion.</t>
  </si>
  <si>
    <t>7.6 read</t>
  </si>
  <si>
    <t>7.6–7.6.1</t>
  </si>
  <si>
    <t>Do Exercise 6: gamma variables and a.s. convergence.</t>
  </si>
  <si>
    <t>7.6 three-series theorem</t>
  </si>
  <si>
    <t>7.6–7.6.1 read or previous listed exercise attempted</t>
  </si>
  <si>
    <t>Do Exercise 11: symmetric iid harmonic series criterion.</t>
  </si>
  <si>
    <t>7.11</t>
  </si>
  <si>
    <t>7.6 three-series / SLLN contrast</t>
  </si>
  <si>
    <t>Do Exercise 13: exponential series conditions.</t>
  </si>
  <si>
    <t>7.13</t>
  </si>
  <si>
    <t>Do Exercise 14: normal series criterion.</t>
  </si>
  <si>
    <t>7.14</t>
  </si>
  <si>
    <t>7.6 three-series / normal moments</t>
  </si>
  <si>
    <t>Do Exercise 15: positive variables two-series reduction.</t>
  </si>
  <si>
    <t>7.15</t>
  </si>
  <si>
    <t>7.6 positive version</t>
  </si>
  <si>
    <t>Do Exercise 17: rare jumps and limiting partial sums.</t>
  </si>
  <si>
    <t>7.17</t>
  </si>
  <si>
    <t>7.6 three-series / Borel-Cantelli</t>
  </si>
  <si>
    <t>Do Exercise 19: nonnegative series equivalent conditions.</t>
  </si>
  <si>
    <t>7.19</t>
  </si>
  <si>
    <t>7.6 positive series</t>
  </si>
  <si>
    <t>Do Exercise 20: sufficient condition for a.s. convergence.</t>
  </si>
  <si>
    <t>7.20</t>
  </si>
  <si>
    <t>7.6 three-series sufficient logic</t>
  </si>
  <si>
    <t>Do Exercise 26: St. Petersburg a.s. limsup failure.</t>
  </si>
  <si>
    <t>7.26</t>
  </si>
  <si>
    <t>7.6 / Borel-Cantelli</t>
  </si>
  <si>
    <t>Do Exercise 33: necessary and sufficient exponent condition.</t>
  </si>
  <si>
    <t>7.33</t>
  </si>
  <si>
    <t>Do Exercise 36: positive series and expectations under tail condition.</t>
  </si>
  <si>
    <t>7.36</t>
  </si>
  <si>
    <t>Do Exercise 37: exponential series with only three-series theorem.</t>
  </si>
  <si>
    <t>7.37</t>
  </si>
  <si>
    <t>Proceed gate: for every series problem, record the three series explicitly or say why a simpler criterion applies.</t>
  </si>
  <si>
    <t>Gate before advanced WLLN extras</t>
  </si>
  <si>
    <t>Block E exercises attempted</t>
  </si>
  <si>
    <t>Proceed only if three-series checklist is reproducible</t>
  </si>
  <si>
    <t>F. Advanced WLLN / heavy-tail extras</t>
  </si>
  <si>
    <t>7.2 + 7.6 review</t>
  </si>
  <si>
    <t>Review: relative stability, triangular arrays, St. Petersburg, coupon collecting. This is a consolidation block, not new theorem reading.</t>
  </si>
  <si>
    <t>Blocks A–E complete</t>
  </si>
  <si>
    <t>7.2 / 7.6 / Ch8 bridge</t>
  </si>
  <si>
    <t>Do Exercise 24: relative stability of sums and St. Petersburg paradox.</t>
  </si>
  <si>
    <t>7.24</t>
  </si>
  <si>
    <t>Advanced 7.2 WLLN / slowly varying functions</t>
  </si>
  <si>
    <t>Main Chapter 7 machinery attempted</t>
  </si>
  <si>
    <t>Do Exercise 25: triangular-array version of Theorem 7.2.1.</t>
  </si>
  <si>
    <t>7.25</t>
  </si>
  <si>
    <t>Advanced 7.2 WLLN</t>
  </si>
  <si>
    <t>Do Exercise 29: heavy-tailed normalized lower limit.</t>
  </si>
  <si>
    <t>7.29</t>
  </si>
  <si>
    <t>Advanced WLLN / truncation</t>
  </si>
  <si>
    <t>Do Exercise 30: classical coupon collecting.</t>
  </si>
  <si>
    <t>7.30</t>
  </si>
  <si>
    <t>WLLN with geometric variables</t>
  </si>
  <si>
    <t>Do Exercise 46: Cauchy sums; mark as bridge to Chapter 8 if needed.</t>
  </si>
  <si>
    <t>7.46</t>
  </si>
  <si>
    <t>Chapter 7 + Chapter 8 bridge</t>
  </si>
  <si>
    <t>Summary</t>
  </si>
  <si>
    <t>G. Chapter summary</t>
  </si>
  <si>
    <t>Chapter 7</t>
  </si>
  <si>
    <t>Write final Chapter 7 summary: definitions, main results, proof ideas, technical tricks, pitfalls, links to Chapter 6 and Chapter 8.</t>
  </si>
  <si>
    <t>All exercise first attempts completed</t>
  </si>
  <si>
    <t>Final redo sweep: sort Master Schedule by Suggested Redo Date and complete unresolved Totally ignorance / Spark / Skeleton rows.</t>
  </si>
  <si>
    <t>Chapter summary drafted</t>
  </si>
  <si>
    <t>Resnick Chapter 7 Schedule</t>
  </si>
  <si>
    <t/>
  </si>
  <si>
    <t>Instruction</t>
  </si>
  <si>
    <t>Fill Actual Start for each row. For exercise rows, Actual Start is also the first attempt date. Suggested Redo Date is automatic.</t>
  </si>
  <si>
    <t>Total tasks</t>
  </si>
  <si>
    <t>Reading rows</t>
  </si>
  <si>
    <t>Exercise rows</t>
  </si>
  <si>
    <t>Gate rows</t>
  </si>
  <si>
    <t>Summary rows</t>
  </si>
  <si>
    <t>Rows completed</t>
  </si>
  <si>
    <t>Redo due or overdue</t>
  </si>
  <si>
    <t>Totally ignorance</t>
  </si>
  <si>
    <t>Spark</t>
  </si>
  <si>
    <t>Main fill-out columns</t>
  </si>
  <si>
    <t>K:R in Master Schedule</t>
  </si>
  <si>
    <t>Redo formula source</t>
  </si>
  <si>
    <t>Actual Start + First-pass Status</t>
  </si>
  <si>
    <t>Meaning</t>
  </si>
  <si>
    <t>Recommended Action</t>
  </si>
  <si>
    <t>Redo Offset Days</t>
  </si>
  <si>
    <t>Cannot write meaningful structure.</t>
  </si>
  <si>
    <t>Redo next day after rereading the exact theorem/definition; ask for minimum hint only if still blank.</t>
  </si>
  <si>
    <t>Blur picture appears but needs ignition.</t>
  </si>
  <si>
    <t>Redo after two days with one minimum hint.</t>
  </si>
  <si>
    <t>Direction is right but missing the logical bridge.</t>
  </si>
  <si>
    <t>Redo after two days; focus only on the missing bridge.</t>
  </si>
  <si>
    <t>Logic basically correct.</t>
  </si>
  <si>
    <t>C1 after two days; no immediate redo unless proof was messy.</t>
  </si>
  <si>
    <t>Note</t>
  </si>
  <si>
    <t>Actual Start is also the first attempt date for exercise rows.</t>
  </si>
  <si>
    <t>Suggested Redo Date = Actual Start + offset based on First-pass Status.</t>
  </si>
</sst>
</file>

<file path=xl/styles.xml><?xml version="1.0" encoding="utf-8"?>
<styleSheet xmlns="http://schemas.openxmlformats.org/spreadsheetml/2006/main">
  <numFmts count="5">
    <numFmt numFmtId="176" formatCode="yyyy\-mm\-dd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4" borderId="5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1" fontId="0" fillId="0" borderId="0" xfId="49" applyNumberFormat="1" applyFont="1" applyFill="1" applyBorder="1"/>
    <xf numFmtId="0" fontId="0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2" fillId="4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5"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C6E0B4"/>
        </patternFill>
      </fill>
    </dxf>
    <dxf>
      <font>
        <b val="1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ScheduleTable" displayName="MasterScheduleTable" ref="A1:R64">
  <tableColumns count="18">
    <tableColumn id="1" name="Order"/>
    <tableColumn id="2" name="Planned Date"/>
    <tableColumn id="3" name="Task Type"/>
    <tableColumn id="4" name="Phase"/>
    <tableColumn id="5" name="Section(s)"/>
    <tableColumn id="6" name="Task"/>
    <tableColumn id="7" name="Exercise"/>
    <tableColumn id="8" name="Related Result / Reason"/>
    <tableColumn id="9" name="Prerequisite"/>
    <tableColumn id="10" name="Proceed Gate"/>
    <tableColumn id="11" name="Actual Start"/>
    <tableColumn id="12" name="Actual End"/>
    <tableColumn id="13" name="First-pass Status"/>
    <tableColumn id="14" name="Key Blocker"/>
    <tableColumn id="15" name="Suggested Redo Date (auto)"/>
    <tableColumn id="16" name="Redo Result"/>
    <tableColumn id="17" name="Proceed?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doRulesTable" displayName="RedoRulesTable" ref="A1:D6">
  <tableColumns count="4">
    <tableColumn id="1" name="First-pass Status"/>
    <tableColumn id="2" name="Meaning"/>
    <tableColumn id="3" name="Recommended Action"/>
    <tableColumn id="4" name="Redo Offset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tabSelected="1" topLeftCell="G1" workbookViewId="0">
      <selection activeCell="P4" sqref="P4"/>
    </sheetView>
  </sheetViews>
  <sheetFormatPr defaultColWidth="9" defaultRowHeight="14.25"/>
  <cols>
    <col min="1" max="1" width="8" customWidth="1"/>
    <col min="2" max="2" width="13" customWidth="1"/>
    <col min="3" max="3" width="12" customWidth="1"/>
    <col min="4" max="4" width="22" customWidth="1"/>
    <col min="5" max="5" width="14" customWidth="1"/>
    <col min="6" max="6" width="44" customWidth="1"/>
    <col min="7" max="7" width="10" customWidth="1"/>
    <col min="8" max="9" width="28" customWidth="1"/>
    <col min="10" max="10" width="20.125" customWidth="1"/>
    <col min="11" max="12" width="13" customWidth="1"/>
    <col min="13" max="13" width="18" customWidth="1"/>
    <col min="14" max="14" width="22.125" customWidth="1"/>
    <col min="15" max="15" width="18" customWidth="1"/>
    <col min="16" max="16" width="20" customWidth="1"/>
    <col min="17" max="17" width="12" customWidth="1"/>
    <col min="18" max="18" width="28" customWidth="1"/>
  </cols>
  <sheetData>
    <row r="1" ht="32" customHeight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ht="42.75" spans="1:18">
      <c r="A2" s="7">
        <v>1</v>
      </c>
      <c r="B2" s="8">
        <v>46177</v>
      </c>
      <c r="C2" s="7" t="s">
        <v>18</v>
      </c>
      <c r="D2" s="7" t="s">
        <v>19</v>
      </c>
      <c r="E2" s="7" t="s">
        <v>20</v>
      </c>
      <c r="F2" s="7" t="s">
        <v>21</v>
      </c>
      <c r="G2" s="7"/>
      <c r="H2" s="7"/>
      <c r="I2" s="7" t="s">
        <v>22</v>
      </c>
      <c r="J2" s="7"/>
      <c r="K2" s="8"/>
      <c r="L2" s="8"/>
      <c r="M2" s="7"/>
      <c r="N2" s="7"/>
      <c r="O2" s="8" t="str">
        <f>IF(OR($K2="",$M2=""),"",IFERROR($K2+VLOOKUP($M2,'Redo Rules'!$A$2:$D$5,4,FALSE),""))</f>
        <v/>
      </c>
      <c r="P2" s="7"/>
      <c r="Q2" s="7"/>
      <c r="R2" s="7"/>
    </row>
    <row r="3" ht="42.75" spans="1:18">
      <c r="A3" s="7">
        <v>2</v>
      </c>
      <c r="B3" s="8">
        <v>46178</v>
      </c>
      <c r="C3" s="7" t="s">
        <v>18</v>
      </c>
      <c r="D3" s="7" t="s">
        <v>19</v>
      </c>
      <c r="E3" s="7" t="s">
        <v>23</v>
      </c>
      <c r="F3" s="7" t="s">
        <v>24</v>
      </c>
      <c r="G3" s="7"/>
      <c r="H3" s="7"/>
      <c r="I3" s="7" t="s">
        <v>25</v>
      </c>
      <c r="J3" s="7"/>
      <c r="K3" s="8"/>
      <c r="L3" s="8"/>
      <c r="M3" s="7"/>
      <c r="N3" s="7"/>
      <c r="O3" s="8" t="str">
        <f>IF(OR($K3="",$M3=""),"",IFERROR($K3+VLOOKUP($M3,'Redo Rules'!$A$2:$D$5,4,FALSE),""))</f>
        <v/>
      </c>
      <c r="P3" s="7"/>
      <c r="Q3" s="7"/>
      <c r="R3" s="7"/>
    </row>
    <row r="4" ht="28.5" spans="1:18">
      <c r="A4" s="7">
        <v>3</v>
      </c>
      <c r="B4" s="8">
        <v>46179</v>
      </c>
      <c r="C4" s="7" t="s">
        <v>6</v>
      </c>
      <c r="D4" s="7" t="s">
        <v>19</v>
      </c>
      <c r="E4" s="7" t="s">
        <v>23</v>
      </c>
      <c r="F4" s="7" t="s">
        <v>26</v>
      </c>
      <c r="G4" s="7" t="s">
        <v>23</v>
      </c>
      <c r="H4" s="7" t="s">
        <v>27</v>
      </c>
      <c r="I4" s="7" t="s">
        <v>28</v>
      </c>
      <c r="J4" s="7"/>
      <c r="K4" s="8">
        <v>46176</v>
      </c>
      <c r="L4" s="8">
        <v>46178</v>
      </c>
      <c r="M4" s="7" t="s">
        <v>29</v>
      </c>
      <c r="N4" s="7"/>
      <c r="O4" s="8">
        <f>IF(OR($K4="",$M4=""),"",IFERROR($K4+VLOOKUP($M4,'Redo Rules'!$A$2:$D$5,4,FALSE),""))</f>
        <v>46178</v>
      </c>
      <c r="P4" s="7" t="s">
        <v>30</v>
      </c>
      <c r="Q4" s="7"/>
      <c r="R4" s="7"/>
    </row>
    <row r="5" spans="1:18">
      <c r="A5" s="7">
        <v>4</v>
      </c>
      <c r="B5" s="8">
        <v>46180</v>
      </c>
      <c r="C5" s="7" t="s">
        <v>6</v>
      </c>
      <c r="D5" s="7" t="s">
        <v>19</v>
      </c>
      <c r="E5" s="7" t="s">
        <v>23</v>
      </c>
      <c r="F5" s="7" t="s">
        <v>31</v>
      </c>
      <c r="G5" s="7" t="s">
        <v>32</v>
      </c>
      <c r="H5" s="7" t="s">
        <v>33</v>
      </c>
      <c r="I5" s="7" t="s">
        <v>34</v>
      </c>
      <c r="J5" s="7"/>
      <c r="K5" s="8">
        <v>46177</v>
      </c>
      <c r="L5" s="8"/>
      <c r="M5" s="7" t="s">
        <v>35</v>
      </c>
      <c r="N5" s="7"/>
      <c r="O5" s="8">
        <f>IF(OR($K5="",$M5=""),"",IFERROR($K5+VLOOKUP($M5,'Redo Rules'!$A$2:$D$5,4,FALSE),""))</f>
        <v>46179</v>
      </c>
      <c r="P5" s="7"/>
      <c r="Q5" s="7"/>
      <c r="R5" s="7"/>
    </row>
    <row r="6" spans="1:18">
      <c r="A6" s="7">
        <v>5</v>
      </c>
      <c r="B6" s="8">
        <v>46181</v>
      </c>
      <c r="C6" s="7" t="s">
        <v>6</v>
      </c>
      <c r="D6" s="7" t="s">
        <v>19</v>
      </c>
      <c r="E6" s="7" t="s">
        <v>23</v>
      </c>
      <c r="F6" s="7" t="s">
        <v>36</v>
      </c>
      <c r="G6" s="7" t="s">
        <v>37</v>
      </c>
      <c r="H6" s="7" t="s">
        <v>38</v>
      </c>
      <c r="I6" s="7" t="s">
        <v>39</v>
      </c>
      <c r="J6" s="7"/>
      <c r="K6" s="8">
        <v>46178</v>
      </c>
      <c r="L6" s="8"/>
      <c r="M6" s="7" t="s">
        <v>29</v>
      </c>
      <c r="N6" s="7"/>
      <c r="O6" s="8">
        <f>IF(OR($K6="",$M6=""),"",IFERROR($K6+VLOOKUP($M6,'Redo Rules'!$A$2:$D$5,4,FALSE),""))</f>
        <v>46180</v>
      </c>
      <c r="P6" s="7"/>
      <c r="Q6" s="7"/>
      <c r="R6" s="7"/>
    </row>
    <row r="7" ht="28.5" spans="1:18">
      <c r="A7" s="7">
        <v>6</v>
      </c>
      <c r="B7" s="8">
        <v>46182</v>
      </c>
      <c r="C7" s="7" t="s">
        <v>6</v>
      </c>
      <c r="D7" s="7" t="s">
        <v>40</v>
      </c>
      <c r="E7" s="7" t="s">
        <v>23</v>
      </c>
      <c r="F7" s="7" t="s">
        <v>41</v>
      </c>
      <c r="G7" s="7" t="s">
        <v>42</v>
      </c>
      <c r="H7" s="7" t="s">
        <v>43</v>
      </c>
      <c r="I7" s="7" t="s">
        <v>44</v>
      </c>
      <c r="J7" s="7"/>
      <c r="K7" s="8"/>
      <c r="L7" s="8"/>
      <c r="M7" s="7"/>
      <c r="N7" s="7"/>
      <c r="O7" s="8" t="str">
        <f>IF(OR($K7="",$M7=""),"",IFERROR($K7+VLOOKUP($M7,'Redo Rules'!$A$2:$D$5,4,FALSE),""))</f>
        <v/>
      </c>
      <c r="P7" s="7"/>
      <c r="Q7" s="7"/>
      <c r="R7" s="7"/>
    </row>
    <row r="8" ht="28.5" spans="1:18">
      <c r="A8" s="7">
        <v>7</v>
      </c>
      <c r="B8" s="8">
        <v>46183</v>
      </c>
      <c r="C8" s="7" t="s">
        <v>6</v>
      </c>
      <c r="D8" s="7" t="s">
        <v>40</v>
      </c>
      <c r="E8" s="7" t="s">
        <v>23</v>
      </c>
      <c r="F8" s="7" t="s">
        <v>45</v>
      </c>
      <c r="G8" s="7" t="s">
        <v>46</v>
      </c>
      <c r="H8" s="7" t="s">
        <v>43</v>
      </c>
      <c r="I8" s="7" t="s">
        <v>47</v>
      </c>
      <c r="J8" s="7"/>
      <c r="K8" s="8"/>
      <c r="L8" s="8"/>
      <c r="M8" s="7"/>
      <c r="N8" s="7"/>
      <c r="O8" s="8" t="str">
        <f>IF(OR($K8="",$M8=""),"",IFERROR($K8+VLOOKUP($M8,'Redo Rules'!$A$2:$D$5,4,FALSE),""))</f>
        <v/>
      </c>
      <c r="P8" s="7"/>
      <c r="Q8" s="7"/>
      <c r="R8" s="7"/>
    </row>
    <row r="9" spans="1:18">
      <c r="A9" s="7">
        <v>8</v>
      </c>
      <c r="B9" s="8">
        <v>46184</v>
      </c>
      <c r="C9" s="7" t="s">
        <v>6</v>
      </c>
      <c r="D9" s="7" t="s">
        <v>40</v>
      </c>
      <c r="E9" s="7" t="s">
        <v>23</v>
      </c>
      <c r="F9" s="7" t="s">
        <v>48</v>
      </c>
      <c r="G9" s="7" t="s">
        <v>49</v>
      </c>
      <c r="H9" s="7" t="s">
        <v>50</v>
      </c>
      <c r="I9" s="7" t="s">
        <v>51</v>
      </c>
      <c r="J9" s="7"/>
      <c r="K9" s="8"/>
      <c r="L9" s="8"/>
      <c r="M9" s="7"/>
      <c r="N9" s="7"/>
      <c r="O9" s="8" t="str">
        <f>IF(OR($K9="",$M9=""),"",IFERROR($K9+VLOOKUP($M9,'Redo Rules'!$A$2:$D$5,4,FALSE),""))</f>
        <v/>
      </c>
      <c r="P9" s="7"/>
      <c r="Q9" s="7"/>
      <c r="R9" s="7"/>
    </row>
    <row r="10" spans="1:18">
      <c r="A10" s="7">
        <v>9</v>
      </c>
      <c r="B10" s="8">
        <v>46185</v>
      </c>
      <c r="C10" s="7" t="s">
        <v>6</v>
      </c>
      <c r="D10" s="7" t="s">
        <v>40</v>
      </c>
      <c r="E10" s="7" t="s">
        <v>23</v>
      </c>
      <c r="F10" s="7" t="s">
        <v>52</v>
      </c>
      <c r="G10" s="7" t="s">
        <v>53</v>
      </c>
      <c r="H10" s="7" t="s">
        <v>43</v>
      </c>
      <c r="I10" s="7" t="s">
        <v>54</v>
      </c>
      <c r="J10" s="7"/>
      <c r="K10" s="8"/>
      <c r="L10" s="8"/>
      <c r="M10" s="7"/>
      <c r="N10" s="7"/>
      <c r="O10" s="8" t="str">
        <f>IF(OR($K10="",$M10=""),"",IFERROR($K10+VLOOKUP($M10,'Redo Rules'!$A$2:$D$5,4,FALSE),""))</f>
        <v/>
      </c>
      <c r="P10" s="7"/>
      <c r="Q10" s="7"/>
      <c r="R10" s="7"/>
    </row>
    <row r="11" spans="1:18">
      <c r="A11" s="7">
        <v>10</v>
      </c>
      <c r="B11" s="8">
        <v>46186</v>
      </c>
      <c r="C11" s="7" t="s">
        <v>6</v>
      </c>
      <c r="D11" s="7" t="s">
        <v>40</v>
      </c>
      <c r="E11" s="7" t="s">
        <v>23</v>
      </c>
      <c r="F11" s="7" t="s">
        <v>55</v>
      </c>
      <c r="G11" s="7" t="s">
        <v>56</v>
      </c>
      <c r="H11" s="7" t="s">
        <v>57</v>
      </c>
      <c r="I11" s="7" t="s">
        <v>58</v>
      </c>
      <c r="J11" s="7"/>
      <c r="K11" s="8"/>
      <c r="L11" s="8"/>
      <c r="M11" s="7"/>
      <c r="N11" s="7"/>
      <c r="O11" s="8" t="str">
        <f>IF(OR($K11="",$M11=""),"",IFERROR($K11+VLOOKUP($M11,'Redo Rules'!$A$2:$D$5,4,FALSE),""))</f>
        <v/>
      </c>
      <c r="P11" s="7"/>
      <c r="Q11" s="7"/>
      <c r="R11" s="7"/>
    </row>
    <row r="12" ht="42.75" spans="1:18">
      <c r="A12" s="7">
        <v>11</v>
      </c>
      <c r="B12" s="8">
        <v>46187</v>
      </c>
      <c r="C12" s="7" t="s">
        <v>59</v>
      </c>
      <c r="D12" s="7" t="s">
        <v>19</v>
      </c>
      <c r="E12" s="7" t="s">
        <v>60</v>
      </c>
      <c r="F12" s="7" t="s">
        <v>61</v>
      </c>
      <c r="G12" s="7"/>
      <c r="H12" s="7" t="s">
        <v>62</v>
      </c>
      <c r="I12" s="7" t="s">
        <v>63</v>
      </c>
      <c r="J12" s="7" t="s">
        <v>64</v>
      </c>
      <c r="K12" s="8"/>
      <c r="L12" s="8"/>
      <c r="M12" s="7"/>
      <c r="N12" s="7"/>
      <c r="O12" s="8" t="str">
        <f>IF(OR($K12="",$M12=""),"",IFERROR($K12+VLOOKUP($M12,'Redo Rules'!$A$2:$D$5,4,FALSE),""))</f>
        <v/>
      </c>
      <c r="P12" s="7"/>
      <c r="Q12" s="7"/>
      <c r="R12" s="7"/>
    </row>
    <row r="13" ht="28.5" spans="1:18">
      <c r="A13" s="7">
        <v>12</v>
      </c>
      <c r="B13" s="8">
        <v>46188</v>
      </c>
      <c r="C13" s="7" t="s">
        <v>18</v>
      </c>
      <c r="D13" s="7" t="s">
        <v>65</v>
      </c>
      <c r="E13" s="7" t="s">
        <v>32</v>
      </c>
      <c r="F13" s="7" t="s">
        <v>66</v>
      </c>
      <c r="G13" s="7"/>
      <c r="H13" s="7"/>
      <c r="I13" s="7" t="s">
        <v>67</v>
      </c>
      <c r="J13" s="7"/>
      <c r="K13" s="8"/>
      <c r="L13" s="8"/>
      <c r="M13" s="7"/>
      <c r="N13" s="7"/>
      <c r="O13" s="8" t="str">
        <f>IF(OR($K13="",$M13=""),"",IFERROR($K13+VLOOKUP($M13,'Redo Rules'!$A$2:$D$5,4,FALSE),""))</f>
        <v/>
      </c>
      <c r="P13" s="7"/>
      <c r="Q13" s="7"/>
      <c r="R13" s="7"/>
    </row>
    <row r="14" ht="28.5" spans="1:18">
      <c r="A14" s="7">
        <v>13</v>
      </c>
      <c r="B14" s="8">
        <v>46189</v>
      </c>
      <c r="C14" s="7" t="s">
        <v>6</v>
      </c>
      <c r="D14" s="7" t="s">
        <v>65</v>
      </c>
      <c r="E14" s="7" t="s">
        <v>32</v>
      </c>
      <c r="F14" s="7" t="s">
        <v>68</v>
      </c>
      <c r="G14" s="7" t="s">
        <v>20</v>
      </c>
      <c r="H14" s="7" t="s">
        <v>69</v>
      </c>
      <c r="I14" s="7" t="s">
        <v>70</v>
      </c>
      <c r="J14" s="7"/>
      <c r="K14" s="8"/>
      <c r="L14" s="8"/>
      <c r="M14" s="7"/>
      <c r="N14" s="7"/>
      <c r="O14" s="8" t="str">
        <f>IF(OR($K14="",$M14=""),"",IFERROR($K14+VLOOKUP($M14,'Redo Rules'!$A$2:$D$5,4,FALSE),""))</f>
        <v/>
      </c>
      <c r="P14" s="7"/>
      <c r="Q14" s="7"/>
      <c r="R14" s="7"/>
    </row>
    <row r="15" ht="28.5" spans="1:18">
      <c r="A15" s="7">
        <v>14</v>
      </c>
      <c r="B15" s="8">
        <v>46190</v>
      </c>
      <c r="C15" s="7" t="s">
        <v>6</v>
      </c>
      <c r="D15" s="7" t="s">
        <v>65</v>
      </c>
      <c r="E15" s="7" t="s">
        <v>32</v>
      </c>
      <c r="F15" s="7" t="s">
        <v>71</v>
      </c>
      <c r="G15" s="7" t="s">
        <v>72</v>
      </c>
      <c r="H15" s="7" t="s">
        <v>73</v>
      </c>
      <c r="I15" s="7" t="s">
        <v>74</v>
      </c>
      <c r="J15" s="7"/>
      <c r="K15" s="8"/>
      <c r="L15" s="8"/>
      <c r="M15" s="7"/>
      <c r="N15" s="7"/>
      <c r="O15" s="8" t="str">
        <f>IF(OR($K15="",$M15=""),"",IFERROR($K15+VLOOKUP($M15,'Redo Rules'!$A$2:$D$5,4,FALSE),""))</f>
        <v/>
      </c>
      <c r="P15" s="7"/>
      <c r="Q15" s="7"/>
      <c r="R15" s="7"/>
    </row>
    <row r="16" ht="28.5" spans="1:18">
      <c r="A16" s="7">
        <v>15</v>
      </c>
      <c r="B16" s="8">
        <v>46191</v>
      </c>
      <c r="C16" s="7" t="s">
        <v>6</v>
      </c>
      <c r="D16" s="7" t="s">
        <v>65</v>
      </c>
      <c r="E16" s="7" t="s">
        <v>32</v>
      </c>
      <c r="F16" s="7" t="s">
        <v>75</v>
      </c>
      <c r="G16" s="7" t="s">
        <v>76</v>
      </c>
      <c r="H16" s="7" t="s">
        <v>77</v>
      </c>
      <c r="I16" s="7" t="s">
        <v>78</v>
      </c>
      <c r="J16" s="7"/>
      <c r="K16" s="8"/>
      <c r="L16" s="8"/>
      <c r="M16" s="7"/>
      <c r="N16" s="7"/>
      <c r="O16" s="8" t="str">
        <f>IF(OR($K16="",$M16=""),"",IFERROR($K16+VLOOKUP($M16,'Redo Rules'!$A$2:$D$5,4,FALSE),""))</f>
        <v/>
      </c>
      <c r="P16" s="7"/>
      <c r="Q16" s="7"/>
      <c r="R16" s="7"/>
    </row>
    <row r="17" ht="28.5" spans="1:18">
      <c r="A17" s="7">
        <v>16</v>
      </c>
      <c r="B17" s="8">
        <v>46192</v>
      </c>
      <c r="C17" s="7" t="s">
        <v>6</v>
      </c>
      <c r="D17" s="7" t="s">
        <v>65</v>
      </c>
      <c r="E17" s="7" t="s">
        <v>32</v>
      </c>
      <c r="F17" s="7" t="s">
        <v>79</v>
      </c>
      <c r="G17" s="7" t="s">
        <v>80</v>
      </c>
      <c r="H17" s="7" t="s">
        <v>81</v>
      </c>
      <c r="I17" s="7" t="s">
        <v>82</v>
      </c>
      <c r="J17" s="7"/>
      <c r="K17" s="8"/>
      <c r="L17" s="8"/>
      <c r="M17" s="7"/>
      <c r="N17" s="7"/>
      <c r="O17" s="8" t="str">
        <f>IF(OR($K17="",$M17=""),"",IFERROR($K17+VLOOKUP($M17,'Redo Rules'!$A$2:$D$5,4,FALSE),""))</f>
        <v/>
      </c>
      <c r="P17" s="7"/>
      <c r="Q17" s="7"/>
      <c r="R17" s="7"/>
    </row>
    <row r="18" ht="28.5" spans="1:18">
      <c r="A18" s="7">
        <v>17</v>
      </c>
      <c r="B18" s="8">
        <v>46193</v>
      </c>
      <c r="C18" s="7" t="s">
        <v>6</v>
      </c>
      <c r="D18" s="7" t="s">
        <v>65</v>
      </c>
      <c r="E18" s="7" t="s">
        <v>32</v>
      </c>
      <c r="F18" s="7" t="s">
        <v>83</v>
      </c>
      <c r="G18" s="7" t="s">
        <v>84</v>
      </c>
      <c r="H18" s="7" t="s">
        <v>85</v>
      </c>
      <c r="I18" s="7" t="s">
        <v>86</v>
      </c>
      <c r="J18" s="7"/>
      <c r="K18" s="8"/>
      <c r="L18" s="8"/>
      <c r="M18" s="7"/>
      <c r="N18" s="7"/>
      <c r="O18" s="8" t="str">
        <f>IF(OR($K18="",$M18=""),"",IFERROR($K18+VLOOKUP($M18,'Redo Rules'!$A$2:$D$5,4,FALSE),""))</f>
        <v/>
      </c>
      <c r="P18" s="7"/>
      <c r="Q18" s="7"/>
      <c r="R18" s="7"/>
    </row>
    <row r="19" ht="28.5" spans="1:18">
      <c r="A19" s="7">
        <v>18</v>
      </c>
      <c r="B19" s="8">
        <v>46194</v>
      </c>
      <c r="C19" s="7" t="s">
        <v>6</v>
      </c>
      <c r="D19" s="7" t="s">
        <v>65</v>
      </c>
      <c r="E19" s="7" t="s">
        <v>32</v>
      </c>
      <c r="F19" s="7" t="s">
        <v>87</v>
      </c>
      <c r="G19" s="7" t="s">
        <v>88</v>
      </c>
      <c r="H19" s="7" t="s">
        <v>73</v>
      </c>
      <c r="I19" s="7" t="s">
        <v>89</v>
      </c>
      <c r="J19" s="7"/>
      <c r="K19" s="8"/>
      <c r="L19" s="8"/>
      <c r="M19" s="7"/>
      <c r="N19" s="7"/>
      <c r="O19" s="8" t="str">
        <f>IF(OR($K19="",$M19=""),"",IFERROR($K19+VLOOKUP($M19,'Redo Rules'!$A$2:$D$5,4,FALSE),""))</f>
        <v/>
      </c>
      <c r="P19" s="7"/>
      <c r="Q19" s="7"/>
      <c r="R19" s="7"/>
    </row>
    <row r="20" ht="28.5" spans="1:18">
      <c r="A20" s="7">
        <v>19</v>
      </c>
      <c r="B20" s="8">
        <v>46195</v>
      </c>
      <c r="C20" s="7" t="s">
        <v>6</v>
      </c>
      <c r="D20" s="7" t="s">
        <v>65</v>
      </c>
      <c r="E20" s="7" t="s">
        <v>32</v>
      </c>
      <c r="F20" s="7" t="s">
        <v>90</v>
      </c>
      <c r="G20" s="7" t="s">
        <v>91</v>
      </c>
      <c r="H20" s="7" t="s">
        <v>92</v>
      </c>
      <c r="I20" s="7" t="s">
        <v>93</v>
      </c>
      <c r="J20" s="7"/>
      <c r="K20" s="8"/>
      <c r="L20" s="8"/>
      <c r="M20" s="7"/>
      <c r="N20" s="7"/>
      <c r="O20" s="8" t="str">
        <f>IF(OR($K20="",$M20=""),"",IFERROR($K20+VLOOKUP($M20,'Redo Rules'!$A$2:$D$5,4,FALSE),""))</f>
        <v/>
      </c>
      <c r="P20" s="7"/>
      <c r="Q20" s="7"/>
      <c r="R20" s="7"/>
    </row>
    <row r="21" ht="42.75" spans="1:18">
      <c r="A21" s="7">
        <v>20</v>
      </c>
      <c r="B21" s="8">
        <v>46196</v>
      </c>
      <c r="C21" s="7" t="s">
        <v>59</v>
      </c>
      <c r="D21" s="7" t="s">
        <v>65</v>
      </c>
      <c r="E21" s="7" t="s">
        <v>32</v>
      </c>
      <c r="F21" s="7" t="s">
        <v>94</v>
      </c>
      <c r="G21" s="7"/>
      <c r="H21" s="7" t="s">
        <v>95</v>
      </c>
      <c r="I21" s="7" t="s">
        <v>96</v>
      </c>
      <c r="J21" s="7" t="s">
        <v>97</v>
      </c>
      <c r="K21" s="8"/>
      <c r="L21" s="8"/>
      <c r="M21" s="7"/>
      <c r="N21" s="7"/>
      <c r="O21" s="8" t="str">
        <f>IF(OR($K21="",$M21=""),"",IFERROR($K21+VLOOKUP($M21,'Redo Rules'!$A$2:$D$5,4,FALSE),""))</f>
        <v/>
      </c>
      <c r="P21" s="7"/>
      <c r="Q21" s="7"/>
      <c r="R21" s="7"/>
    </row>
    <row r="22" ht="42.75" spans="1:18">
      <c r="A22" s="7">
        <v>21</v>
      </c>
      <c r="B22" s="8">
        <v>46197</v>
      </c>
      <c r="C22" s="7" t="s">
        <v>18</v>
      </c>
      <c r="D22" s="7" t="s">
        <v>98</v>
      </c>
      <c r="E22" s="7" t="s">
        <v>37</v>
      </c>
      <c r="F22" s="7" t="s">
        <v>99</v>
      </c>
      <c r="G22" s="7"/>
      <c r="H22" s="7"/>
      <c r="I22" s="7" t="s">
        <v>100</v>
      </c>
      <c r="J22" s="7"/>
      <c r="K22" s="8"/>
      <c r="L22" s="8"/>
      <c r="M22" s="7"/>
      <c r="N22" s="7"/>
      <c r="O22" s="8" t="str">
        <f>IF(OR($K22="",$M22=""),"",IFERROR($K22+VLOOKUP($M22,'Redo Rules'!$A$2:$D$5,4,FALSE),""))</f>
        <v/>
      </c>
      <c r="P22" s="7"/>
      <c r="Q22" s="7"/>
      <c r="R22" s="7"/>
    </row>
    <row r="23" ht="28.5" spans="1:18">
      <c r="A23" s="7">
        <v>22</v>
      </c>
      <c r="B23" s="8">
        <v>46198</v>
      </c>
      <c r="C23" s="7" t="s">
        <v>18</v>
      </c>
      <c r="D23" s="7" t="s">
        <v>98</v>
      </c>
      <c r="E23" s="7" t="s">
        <v>101</v>
      </c>
      <c r="F23" s="7" t="s">
        <v>102</v>
      </c>
      <c r="G23" s="7"/>
      <c r="H23" s="7"/>
      <c r="I23" s="7" t="s">
        <v>103</v>
      </c>
      <c r="J23" s="7"/>
      <c r="K23" s="8"/>
      <c r="L23" s="8"/>
      <c r="M23" s="7"/>
      <c r="N23" s="7"/>
      <c r="O23" s="8" t="str">
        <f>IF(OR($K23="",$M23=""),"",IFERROR($K23+VLOOKUP($M23,'Redo Rules'!$A$2:$D$5,4,FALSE),""))</f>
        <v/>
      </c>
      <c r="P23" s="7"/>
      <c r="Q23" s="7"/>
      <c r="R23" s="7"/>
    </row>
    <row r="24" ht="28.5" spans="1:18">
      <c r="A24" s="7">
        <v>23</v>
      </c>
      <c r="B24" s="8">
        <v>46199</v>
      </c>
      <c r="C24" s="7" t="s">
        <v>6</v>
      </c>
      <c r="D24" s="7" t="s">
        <v>98</v>
      </c>
      <c r="E24" s="7" t="s">
        <v>37</v>
      </c>
      <c r="F24" s="7" t="s">
        <v>104</v>
      </c>
      <c r="G24" s="7" t="s">
        <v>105</v>
      </c>
      <c r="H24" s="7" t="s">
        <v>106</v>
      </c>
      <c r="I24" s="7" t="s">
        <v>103</v>
      </c>
      <c r="J24" s="7"/>
      <c r="K24" s="8"/>
      <c r="L24" s="8"/>
      <c r="M24" s="7"/>
      <c r="N24" s="7"/>
      <c r="O24" s="8" t="str">
        <f>IF(OR($K24="",$M24=""),"",IFERROR($K24+VLOOKUP($M24,'Redo Rules'!$A$2:$D$5,4,FALSE),""))</f>
        <v/>
      </c>
      <c r="P24" s="7"/>
      <c r="Q24" s="7"/>
      <c r="R24" s="7"/>
    </row>
    <row r="25" ht="28.5" spans="1:18">
      <c r="A25" s="7">
        <v>24</v>
      </c>
      <c r="B25" s="8">
        <v>46200</v>
      </c>
      <c r="C25" s="7" t="s">
        <v>6</v>
      </c>
      <c r="D25" s="7" t="s">
        <v>98</v>
      </c>
      <c r="E25" s="7" t="s">
        <v>37</v>
      </c>
      <c r="F25" s="7" t="s">
        <v>107</v>
      </c>
      <c r="G25" s="7" t="s">
        <v>108</v>
      </c>
      <c r="H25" s="7" t="s">
        <v>109</v>
      </c>
      <c r="I25" s="7" t="s">
        <v>110</v>
      </c>
      <c r="J25" s="7"/>
      <c r="K25" s="8"/>
      <c r="L25" s="8"/>
      <c r="M25" s="7"/>
      <c r="N25" s="7"/>
      <c r="O25" s="8" t="str">
        <f>IF(OR($K25="",$M25=""),"",IFERROR($K25+VLOOKUP($M25,'Redo Rules'!$A$2:$D$5,4,FALSE),""))</f>
        <v/>
      </c>
      <c r="P25" s="7"/>
      <c r="Q25" s="7"/>
      <c r="R25" s="7"/>
    </row>
    <row r="26" spans="1:18">
      <c r="A26" s="7">
        <v>25</v>
      </c>
      <c r="B26" s="8">
        <v>46201</v>
      </c>
      <c r="C26" s="7" t="s">
        <v>6</v>
      </c>
      <c r="D26" s="7" t="s">
        <v>98</v>
      </c>
      <c r="E26" s="7" t="s">
        <v>37</v>
      </c>
      <c r="F26" s="7" t="s">
        <v>111</v>
      </c>
      <c r="G26" s="7" t="s">
        <v>112</v>
      </c>
      <c r="H26" s="7" t="s">
        <v>113</v>
      </c>
      <c r="I26" s="7" t="s">
        <v>114</v>
      </c>
      <c r="J26" s="7"/>
      <c r="K26" s="8"/>
      <c r="L26" s="8"/>
      <c r="M26" s="7"/>
      <c r="N26" s="7"/>
      <c r="O26" s="8" t="str">
        <f>IF(OR($K26="",$M26=""),"",IFERROR($K26+VLOOKUP($M26,'Redo Rules'!$A$2:$D$5,4,FALSE),""))</f>
        <v/>
      </c>
      <c r="P26" s="7"/>
      <c r="Q26" s="7"/>
      <c r="R26" s="7"/>
    </row>
    <row r="27" ht="28.5" spans="1:18">
      <c r="A27" s="7">
        <v>26</v>
      </c>
      <c r="B27" s="8">
        <v>46202</v>
      </c>
      <c r="C27" s="7" t="s">
        <v>6</v>
      </c>
      <c r="D27" s="7" t="s">
        <v>98</v>
      </c>
      <c r="E27" s="7" t="s">
        <v>37</v>
      </c>
      <c r="F27" s="7" t="s">
        <v>115</v>
      </c>
      <c r="G27" s="7" t="s">
        <v>116</v>
      </c>
      <c r="H27" s="7" t="s">
        <v>117</v>
      </c>
      <c r="I27" s="7" t="s">
        <v>118</v>
      </c>
      <c r="J27" s="7"/>
      <c r="K27" s="8"/>
      <c r="L27" s="8"/>
      <c r="M27" s="7"/>
      <c r="N27" s="7"/>
      <c r="O27" s="8" t="str">
        <f>IF(OR($K27="",$M27=""),"",IFERROR($K27+VLOOKUP($M27,'Redo Rules'!$A$2:$D$5,4,FALSE),""))</f>
        <v/>
      </c>
      <c r="P27" s="7"/>
      <c r="Q27" s="7"/>
      <c r="R27" s="7"/>
    </row>
    <row r="28" ht="28.5" spans="1:18">
      <c r="A28" s="7">
        <v>27</v>
      </c>
      <c r="B28" s="8">
        <v>46203</v>
      </c>
      <c r="C28" s="7" t="s">
        <v>59</v>
      </c>
      <c r="D28" s="7" t="s">
        <v>98</v>
      </c>
      <c r="E28" s="7" t="s">
        <v>37</v>
      </c>
      <c r="F28" s="7" t="s">
        <v>119</v>
      </c>
      <c r="G28" s="7"/>
      <c r="H28" s="7" t="s">
        <v>120</v>
      </c>
      <c r="I28" s="7" t="s">
        <v>121</v>
      </c>
      <c r="J28" s="7" t="s">
        <v>122</v>
      </c>
      <c r="K28" s="8"/>
      <c r="L28" s="8"/>
      <c r="M28" s="7"/>
      <c r="N28" s="7"/>
      <c r="O28" s="8" t="str">
        <f>IF(OR($K28="",$M28=""),"",IFERROR($K28+VLOOKUP($M28,'Redo Rules'!$A$2:$D$5,4,FALSE),""))</f>
        <v/>
      </c>
      <c r="P28" s="7"/>
      <c r="Q28" s="7"/>
      <c r="R28" s="7"/>
    </row>
    <row r="29" ht="28.5" spans="1:18">
      <c r="A29" s="7">
        <v>28</v>
      </c>
      <c r="B29" s="8">
        <v>46204</v>
      </c>
      <c r="C29" s="7" t="s">
        <v>18</v>
      </c>
      <c r="D29" s="7" t="s">
        <v>123</v>
      </c>
      <c r="E29" s="7" t="s">
        <v>72</v>
      </c>
      <c r="F29" s="7" t="s">
        <v>124</v>
      </c>
      <c r="G29" s="7"/>
      <c r="H29" s="7"/>
      <c r="I29" s="7" t="s">
        <v>125</v>
      </c>
      <c r="J29" s="7"/>
      <c r="K29" s="8"/>
      <c r="L29" s="8"/>
      <c r="M29" s="7"/>
      <c r="N29" s="7"/>
      <c r="O29" s="8" t="str">
        <f>IF(OR($K29="",$M29=""),"",IFERROR($K29+VLOOKUP($M29,'Redo Rules'!$A$2:$D$5,4,FALSE),""))</f>
        <v/>
      </c>
      <c r="P29" s="7"/>
      <c r="Q29" s="7"/>
      <c r="R29" s="7"/>
    </row>
    <row r="30" ht="28.5" spans="1:18">
      <c r="A30" s="7">
        <v>29</v>
      </c>
      <c r="B30" s="8">
        <v>46205</v>
      </c>
      <c r="C30" s="7" t="s">
        <v>18</v>
      </c>
      <c r="D30" s="7" t="s">
        <v>123</v>
      </c>
      <c r="E30" s="7" t="s">
        <v>126</v>
      </c>
      <c r="F30" s="7" t="s">
        <v>127</v>
      </c>
      <c r="G30" s="7"/>
      <c r="H30" s="7"/>
      <c r="I30" s="7" t="s">
        <v>128</v>
      </c>
      <c r="J30" s="7"/>
      <c r="K30" s="8"/>
      <c r="L30" s="8"/>
      <c r="M30" s="7"/>
      <c r="N30" s="7"/>
      <c r="O30" s="8" t="str">
        <f>IF(OR($K30="",$M30=""),"",IFERROR($K30+VLOOKUP($M30,'Redo Rules'!$A$2:$D$5,4,FALSE),""))</f>
        <v/>
      </c>
      <c r="P30" s="7"/>
      <c r="Q30" s="7"/>
      <c r="R30" s="7"/>
    </row>
    <row r="31" ht="28.5" spans="1:18">
      <c r="A31" s="7">
        <v>30</v>
      </c>
      <c r="B31" s="8">
        <v>46206</v>
      </c>
      <c r="C31" s="7" t="s">
        <v>6</v>
      </c>
      <c r="D31" s="7" t="s">
        <v>123</v>
      </c>
      <c r="E31" s="7" t="s">
        <v>129</v>
      </c>
      <c r="F31" s="7" t="s">
        <v>130</v>
      </c>
      <c r="G31" s="7" t="s">
        <v>131</v>
      </c>
      <c r="H31" s="7" t="s">
        <v>132</v>
      </c>
      <c r="I31" s="7" t="s">
        <v>133</v>
      </c>
      <c r="J31" s="7"/>
      <c r="K31" s="8"/>
      <c r="L31" s="8"/>
      <c r="M31" s="7"/>
      <c r="N31" s="7"/>
      <c r="O31" s="8" t="str">
        <f>IF(OR($K31="",$M31=""),"",IFERROR($K31+VLOOKUP($M31,'Redo Rules'!$A$2:$D$5,4,FALSE),""))</f>
        <v/>
      </c>
      <c r="P31" s="7"/>
      <c r="Q31" s="7"/>
      <c r="R31" s="7"/>
    </row>
    <row r="32" ht="28.5" spans="1:18">
      <c r="A32" s="7">
        <v>31</v>
      </c>
      <c r="B32" s="8">
        <v>46207</v>
      </c>
      <c r="C32" s="7" t="s">
        <v>6</v>
      </c>
      <c r="D32" s="7" t="s">
        <v>123</v>
      </c>
      <c r="E32" s="7" t="s">
        <v>129</v>
      </c>
      <c r="F32" s="7" t="s">
        <v>134</v>
      </c>
      <c r="G32" s="7" t="s">
        <v>135</v>
      </c>
      <c r="H32" s="7" t="s">
        <v>136</v>
      </c>
      <c r="I32" s="7" t="s">
        <v>133</v>
      </c>
      <c r="J32" s="7"/>
      <c r="K32" s="8"/>
      <c r="L32" s="8"/>
      <c r="M32" s="7"/>
      <c r="N32" s="7"/>
      <c r="O32" s="8" t="str">
        <f>IF(OR($K32="",$M32=""),"",IFERROR($K32+VLOOKUP($M32,'Redo Rules'!$A$2:$D$5,4,FALSE),""))</f>
        <v/>
      </c>
      <c r="P32" s="7"/>
      <c r="Q32" s="7"/>
      <c r="R32" s="7"/>
    </row>
    <row r="33" ht="28.5" spans="1:18">
      <c r="A33" s="7">
        <v>32</v>
      </c>
      <c r="B33" s="8">
        <v>46208</v>
      </c>
      <c r="C33" s="7" t="s">
        <v>6</v>
      </c>
      <c r="D33" s="7" t="s">
        <v>123</v>
      </c>
      <c r="E33" s="7" t="s">
        <v>129</v>
      </c>
      <c r="F33" s="7" t="s">
        <v>137</v>
      </c>
      <c r="G33" s="7" t="s">
        <v>138</v>
      </c>
      <c r="H33" s="7" t="s">
        <v>139</v>
      </c>
      <c r="I33" s="7" t="s">
        <v>133</v>
      </c>
      <c r="J33" s="7"/>
      <c r="K33" s="8"/>
      <c r="L33" s="8"/>
      <c r="M33" s="7"/>
      <c r="N33" s="7"/>
      <c r="O33" s="8" t="str">
        <f>IF(OR($K33="",$M33=""),"",IFERROR($K33+VLOOKUP($M33,'Redo Rules'!$A$2:$D$5,4,FALSE),""))</f>
        <v/>
      </c>
      <c r="P33" s="7"/>
      <c r="Q33" s="7"/>
      <c r="R33" s="7"/>
    </row>
    <row r="34" ht="28.5" spans="1:18">
      <c r="A34" s="7">
        <v>33</v>
      </c>
      <c r="B34" s="8">
        <v>46209</v>
      </c>
      <c r="C34" s="7" t="s">
        <v>6</v>
      </c>
      <c r="D34" s="7" t="s">
        <v>123</v>
      </c>
      <c r="E34" s="7" t="s">
        <v>129</v>
      </c>
      <c r="F34" s="7" t="s">
        <v>140</v>
      </c>
      <c r="G34" s="7" t="s">
        <v>141</v>
      </c>
      <c r="H34" s="7" t="s">
        <v>142</v>
      </c>
      <c r="I34" s="7" t="s">
        <v>133</v>
      </c>
      <c r="J34" s="7"/>
      <c r="K34" s="8"/>
      <c r="L34" s="8"/>
      <c r="M34" s="7"/>
      <c r="N34" s="7"/>
      <c r="O34" s="8" t="str">
        <f>IF(OR($K34="",$M34=""),"",IFERROR($K34+VLOOKUP($M34,'Redo Rules'!$A$2:$D$5,4,FALSE),""))</f>
        <v/>
      </c>
      <c r="P34" s="7"/>
      <c r="Q34" s="7"/>
      <c r="R34" s="7"/>
    </row>
    <row r="35" ht="28.5" spans="1:18">
      <c r="A35" s="7">
        <v>34</v>
      </c>
      <c r="B35" s="8">
        <v>46210</v>
      </c>
      <c r="C35" s="7" t="s">
        <v>6</v>
      </c>
      <c r="D35" s="7" t="s">
        <v>123</v>
      </c>
      <c r="E35" s="7" t="s">
        <v>129</v>
      </c>
      <c r="F35" s="7" t="s">
        <v>143</v>
      </c>
      <c r="G35" s="7" t="s">
        <v>144</v>
      </c>
      <c r="H35" s="7" t="s">
        <v>145</v>
      </c>
      <c r="I35" s="7" t="s">
        <v>133</v>
      </c>
      <c r="J35" s="7"/>
      <c r="K35" s="8"/>
      <c r="L35" s="8"/>
      <c r="M35" s="7"/>
      <c r="N35" s="7"/>
      <c r="O35" s="8" t="str">
        <f>IF(OR($K35="",$M35=""),"",IFERROR($K35+VLOOKUP($M35,'Redo Rules'!$A$2:$D$5,4,FALSE),""))</f>
        <v/>
      </c>
      <c r="P35" s="7"/>
      <c r="Q35" s="7"/>
      <c r="R35" s="7"/>
    </row>
    <row r="36" ht="28.5" spans="1:18">
      <c r="A36" s="7">
        <v>35</v>
      </c>
      <c r="B36" s="8">
        <v>46211</v>
      </c>
      <c r="C36" s="7" t="s">
        <v>6</v>
      </c>
      <c r="D36" s="7" t="s">
        <v>123</v>
      </c>
      <c r="E36" s="7" t="s">
        <v>129</v>
      </c>
      <c r="F36" s="7" t="s">
        <v>146</v>
      </c>
      <c r="G36" s="7" t="s">
        <v>147</v>
      </c>
      <c r="H36" s="7" t="s">
        <v>148</v>
      </c>
      <c r="I36" s="7" t="s">
        <v>133</v>
      </c>
      <c r="J36" s="7"/>
      <c r="K36" s="8"/>
      <c r="L36" s="8"/>
      <c r="M36" s="7"/>
      <c r="N36" s="7"/>
      <c r="O36" s="8" t="str">
        <f>IF(OR($K36="",$M36=""),"",IFERROR($K36+VLOOKUP($M36,'Redo Rules'!$A$2:$D$5,4,FALSE),""))</f>
        <v/>
      </c>
      <c r="P36" s="7"/>
      <c r="Q36" s="7"/>
      <c r="R36" s="7"/>
    </row>
    <row r="37" ht="28.5" spans="1:18">
      <c r="A37" s="7">
        <v>36</v>
      </c>
      <c r="B37" s="8">
        <v>46212</v>
      </c>
      <c r="C37" s="7" t="s">
        <v>6</v>
      </c>
      <c r="D37" s="7" t="s">
        <v>123</v>
      </c>
      <c r="E37" s="7" t="s">
        <v>129</v>
      </c>
      <c r="F37" s="7" t="s">
        <v>149</v>
      </c>
      <c r="G37" s="7" t="s">
        <v>150</v>
      </c>
      <c r="H37" s="7" t="s">
        <v>151</v>
      </c>
      <c r="I37" s="7" t="s">
        <v>133</v>
      </c>
      <c r="J37" s="7"/>
      <c r="K37" s="8"/>
      <c r="L37" s="8"/>
      <c r="M37" s="7"/>
      <c r="N37" s="7"/>
      <c r="O37" s="8" t="str">
        <f>IF(OR($K37="",$M37=""),"",IFERROR($K37+VLOOKUP($M37,'Redo Rules'!$A$2:$D$5,4,FALSE),""))</f>
        <v/>
      </c>
      <c r="P37" s="7"/>
      <c r="Q37" s="7"/>
      <c r="R37" s="7"/>
    </row>
    <row r="38" ht="28.5" spans="1:18">
      <c r="A38" s="7">
        <v>37</v>
      </c>
      <c r="B38" s="8">
        <v>46213</v>
      </c>
      <c r="C38" s="7" t="s">
        <v>6</v>
      </c>
      <c r="D38" s="7" t="s">
        <v>123</v>
      </c>
      <c r="E38" s="7" t="s">
        <v>129</v>
      </c>
      <c r="F38" s="7" t="s">
        <v>152</v>
      </c>
      <c r="G38" s="7" t="s">
        <v>153</v>
      </c>
      <c r="H38" s="7" t="s">
        <v>145</v>
      </c>
      <c r="I38" s="7" t="s">
        <v>133</v>
      </c>
      <c r="J38" s="7"/>
      <c r="K38" s="8"/>
      <c r="L38" s="8"/>
      <c r="M38" s="7"/>
      <c r="N38" s="7"/>
      <c r="O38" s="8" t="str">
        <f>IF(OR($K38="",$M38=""),"",IFERROR($K38+VLOOKUP($M38,'Redo Rules'!$A$2:$D$5,4,FALSE),""))</f>
        <v/>
      </c>
      <c r="P38" s="7"/>
      <c r="Q38" s="7"/>
      <c r="R38" s="7"/>
    </row>
    <row r="39" ht="28.5" spans="1:18">
      <c r="A39" s="7">
        <v>38</v>
      </c>
      <c r="B39" s="8">
        <v>46214</v>
      </c>
      <c r="C39" s="7" t="s">
        <v>6</v>
      </c>
      <c r="D39" s="7" t="s">
        <v>123</v>
      </c>
      <c r="E39" s="7" t="s">
        <v>129</v>
      </c>
      <c r="F39" s="7" t="s">
        <v>154</v>
      </c>
      <c r="G39" s="7" t="s">
        <v>155</v>
      </c>
      <c r="H39" s="7" t="s">
        <v>156</v>
      </c>
      <c r="I39" s="7" t="s">
        <v>133</v>
      </c>
      <c r="J39" s="7"/>
      <c r="K39" s="8"/>
      <c r="L39" s="8"/>
      <c r="M39" s="7"/>
      <c r="N39" s="7"/>
      <c r="O39" s="8" t="str">
        <f>IF(OR($K39="",$M39=""),"",IFERROR($K39+VLOOKUP($M39,'Redo Rules'!$A$2:$D$5,4,FALSE),""))</f>
        <v/>
      </c>
      <c r="P39" s="7"/>
      <c r="Q39" s="7"/>
      <c r="R39" s="7"/>
    </row>
    <row r="40" ht="28.5" spans="1:18">
      <c r="A40" s="7">
        <v>39</v>
      </c>
      <c r="B40" s="8">
        <v>46215</v>
      </c>
      <c r="C40" s="7" t="s">
        <v>6</v>
      </c>
      <c r="D40" s="7" t="s">
        <v>123</v>
      </c>
      <c r="E40" s="7" t="s">
        <v>129</v>
      </c>
      <c r="F40" s="7" t="s">
        <v>157</v>
      </c>
      <c r="G40" s="7" t="s">
        <v>158</v>
      </c>
      <c r="H40" s="7" t="s">
        <v>159</v>
      </c>
      <c r="I40" s="7" t="s">
        <v>133</v>
      </c>
      <c r="J40" s="7"/>
      <c r="K40" s="8"/>
      <c r="L40" s="8"/>
      <c r="M40" s="7"/>
      <c r="N40" s="7"/>
      <c r="O40" s="8" t="str">
        <f>IF(OR($K40="",$M40=""),"",IFERROR($K40+VLOOKUP($M40,'Redo Rules'!$A$2:$D$5,4,FALSE),""))</f>
        <v/>
      </c>
      <c r="P40" s="7"/>
      <c r="Q40" s="7"/>
      <c r="R40" s="7"/>
    </row>
    <row r="41" ht="42.75" spans="1:18">
      <c r="A41" s="7">
        <v>40</v>
      </c>
      <c r="B41" s="8">
        <v>46216</v>
      </c>
      <c r="C41" s="7" t="s">
        <v>59</v>
      </c>
      <c r="D41" s="7" t="s">
        <v>123</v>
      </c>
      <c r="E41" s="7" t="s">
        <v>129</v>
      </c>
      <c r="F41" s="7" t="s">
        <v>160</v>
      </c>
      <c r="G41" s="7"/>
      <c r="H41" s="7" t="s">
        <v>161</v>
      </c>
      <c r="I41" s="7" t="s">
        <v>162</v>
      </c>
      <c r="J41" s="7" t="s">
        <v>163</v>
      </c>
      <c r="K41" s="8"/>
      <c r="L41" s="8"/>
      <c r="M41" s="7"/>
      <c r="N41" s="7"/>
      <c r="O41" s="8" t="str">
        <f>IF(OR($K41="",$M41=""),"",IFERROR($K41+VLOOKUP($M41,'Redo Rules'!$A$2:$D$5,4,FALSE),""))</f>
        <v/>
      </c>
      <c r="P41" s="7"/>
      <c r="Q41" s="7"/>
      <c r="R41" s="7"/>
    </row>
    <row r="42" ht="42.75" spans="1:18">
      <c r="A42" s="7">
        <v>41</v>
      </c>
      <c r="B42" s="8">
        <v>46217</v>
      </c>
      <c r="C42" s="7" t="s">
        <v>18</v>
      </c>
      <c r="D42" s="7" t="s">
        <v>164</v>
      </c>
      <c r="E42" s="7" t="s">
        <v>165</v>
      </c>
      <c r="F42" s="7" t="s">
        <v>166</v>
      </c>
      <c r="G42" s="7"/>
      <c r="H42" s="7"/>
      <c r="I42" s="7" t="s">
        <v>167</v>
      </c>
      <c r="J42" s="7"/>
      <c r="K42" s="8"/>
      <c r="L42" s="8"/>
      <c r="M42" s="7"/>
      <c r="N42" s="7"/>
      <c r="O42" s="8" t="str">
        <f>IF(OR($K42="",$M42=""),"",IFERROR($K42+VLOOKUP($M42,'Redo Rules'!$A$2:$D$5,4,FALSE),""))</f>
        <v/>
      </c>
      <c r="P42" s="7"/>
      <c r="Q42" s="7"/>
      <c r="R42" s="7"/>
    </row>
    <row r="43" ht="28.5" spans="1:18">
      <c r="A43" s="7">
        <v>42</v>
      </c>
      <c r="B43" s="8">
        <v>46218</v>
      </c>
      <c r="C43" s="7" t="s">
        <v>18</v>
      </c>
      <c r="D43" s="7" t="s">
        <v>164</v>
      </c>
      <c r="E43" s="7" t="s">
        <v>168</v>
      </c>
      <c r="F43" s="7" t="s">
        <v>169</v>
      </c>
      <c r="G43" s="7"/>
      <c r="H43" s="7"/>
      <c r="I43" s="7" t="s">
        <v>170</v>
      </c>
      <c r="J43" s="7"/>
      <c r="K43" s="8"/>
      <c r="L43" s="8"/>
      <c r="M43" s="7"/>
      <c r="N43" s="7"/>
      <c r="O43" s="8" t="str">
        <f>IF(OR($K43="",$M43=""),"",IFERROR($K43+VLOOKUP($M43,'Redo Rules'!$A$2:$D$5,4,FALSE),""))</f>
        <v/>
      </c>
      <c r="P43" s="7"/>
      <c r="Q43" s="7"/>
      <c r="R43" s="7"/>
    </row>
    <row r="44" ht="28.5" spans="1:18">
      <c r="A44" s="7">
        <v>43</v>
      </c>
      <c r="B44" s="8">
        <v>46219</v>
      </c>
      <c r="C44" s="7" t="s">
        <v>6</v>
      </c>
      <c r="D44" s="7" t="s">
        <v>164</v>
      </c>
      <c r="E44" s="7" t="s">
        <v>171</v>
      </c>
      <c r="F44" s="7" t="s">
        <v>172</v>
      </c>
      <c r="G44" s="7" t="s">
        <v>165</v>
      </c>
      <c r="H44" s="7" t="s">
        <v>173</v>
      </c>
      <c r="I44" s="7" t="s">
        <v>174</v>
      </c>
      <c r="J44" s="7"/>
      <c r="K44" s="8"/>
      <c r="L44" s="8"/>
      <c r="M44" s="7"/>
      <c r="N44" s="7"/>
      <c r="O44" s="8" t="str">
        <f>IF(OR($K44="",$M44=""),"",IFERROR($K44+VLOOKUP($M44,'Redo Rules'!$A$2:$D$5,4,FALSE),""))</f>
        <v/>
      </c>
      <c r="P44" s="7"/>
      <c r="Q44" s="7"/>
      <c r="R44" s="7"/>
    </row>
    <row r="45" ht="28.5" spans="1:18">
      <c r="A45" s="7">
        <v>44</v>
      </c>
      <c r="B45" s="8">
        <v>46220</v>
      </c>
      <c r="C45" s="7" t="s">
        <v>6</v>
      </c>
      <c r="D45" s="7" t="s">
        <v>164</v>
      </c>
      <c r="E45" s="7" t="s">
        <v>171</v>
      </c>
      <c r="F45" s="7" t="s">
        <v>175</v>
      </c>
      <c r="G45" s="7" t="s">
        <v>176</v>
      </c>
      <c r="H45" s="7" t="s">
        <v>177</v>
      </c>
      <c r="I45" s="7" t="s">
        <v>174</v>
      </c>
      <c r="J45" s="7"/>
      <c r="K45" s="8"/>
      <c r="L45" s="8"/>
      <c r="M45" s="7"/>
      <c r="N45" s="7"/>
      <c r="O45" s="8" t="str">
        <f>IF(OR($K45="",$M45=""),"",IFERROR($K45+VLOOKUP($M45,'Redo Rules'!$A$2:$D$5,4,FALSE),""))</f>
        <v/>
      </c>
      <c r="P45" s="7"/>
      <c r="Q45" s="7"/>
      <c r="R45" s="7"/>
    </row>
    <row r="46" ht="28.5" spans="1:18">
      <c r="A46" s="7">
        <v>45</v>
      </c>
      <c r="B46" s="8">
        <v>46221</v>
      </c>
      <c r="C46" s="7" t="s">
        <v>6</v>
      </c>
      <c r="D46" s="7" t="s">
        <v>164</v>
      </c>
      <c r="E46" s="7" t="s">
        <v>171</v>
      </c>
      <c r="F46" s="7" t="s">
        <v>178</v>
      </c>
      <c r="G46" s="7" t="s">
        <v>179</v>
      </c>
      <c r="H46" s="7" t="s">
        <v>173</v>
      </c>
      <c r="I46" s="7" t="s">
        <v>174</v>
      </c>
      <c r="J46" s="7"/>
      <c r="K46" s="8"/>
      <c r="L46" s="8"/>
      <c r="M46" s="7"/>
      <c r="N46" s="7"/>
      <c r="O46" s="8" t="str">
        <f>IF(OR($K46="",$M46=""),"",IFERROR($K46+VLOOKUP($M46,'Redo Rules'!$A$2:$D$5,4,FALSE),""))</f>
        <v/>
      </c>
      <c r="P46" s="7"/>
      <c r="Q46" s="7"/>
      <c r="R46" s="7"/>
    </row>
    <row r="47" ht="28.5" spans="1:18">
      <c r="A47" s="7">
        <v>46</v>
      </c>
      <c r="B47" s="8">
        <v>46222</v>
      </c>
      <c r="C47" s="7" t="s">
        <v>6</v>
      </c>
      <c r="D47" s="7" t="s">
        <v>164</v>
      </c>
      <c r="E47" s="7" t="s">
        <v>171</v>
      </c>
      <c r="F47" s="7" t="s">
        <v>180</v>
      </c>
      <c r="G47" s="7" t="s">
        <v>181</v>
      </c>
      <c r="H47" s="7" t="s">
        <v>182</v>
      </c>
      <c r="I47" s="7" t="s">
        <v>174</v>
      </c>
      <c r="J47" s="7"/>
      <c r="K47" s="8"/>
      <c r="L47" s="8"/>
      <c r="M47" s="7"/>
      <c r="N47" s="7"/>
      <c r="O47" s="8" t="str">
        <f>IF(OR($K47="",$M47=""),"",IFERROR($K47+VLOOKUP($M47,'Redo Rules'!$A$2:$D$5,4,FALSE),""))</f>
        <v/>
      </c>
      <c r="P47" s="7"/>
      <c r="Q47" s="7"/>
      <c r="R47" s="7"/>
    </row>
    <row r="48" ht="28.5" spans="1:18">
      <c r="A48" s="7">
        <v>47</v>
      </c>
      <c r="B48" s="8">
        <v>46223</v>
      </c>
      <c r="C48" s="7" t="s">
        <v>6</v>
      </c>
      <c r="D48" s="7" t="s">
        <v>164</v>
      </c>
      <c r="E48" s="7" t="s">
        <v>171</v>
      </c>
      <c r="F48" s="7" t="s">
        <v>183</v>
      </c>
      <c r="G48" s="7" t="s">
        <v>184</v>
      </c>
      <c r="H48" s="7" t="s">
        <v>185</v>
      </c>
      <c r="I48" s="7" t="s">
        <v>174</v>
      </c>
      <c r="J48" s="7"/>
      <c r="K48" s="8"/>
      <c r="L48" s="8"/>
      <c r="M48" s="7"/>
      <c r="N48" s="7"/>
      <c r="O48" s="8" t="str">
        <f>IF(OR($K48="",$M48=""),"",IFERROR($K48+VLOOKUP($M48,'Redo Rules'!$A$2:$D$5,4,FALSE),""))</f>
        <v/>
      </c>
      <c r="P48" s="7"/>
      <c r="Q48" s="7"/>
      <c r="R48" s="7"/>
    </row>
    <row r="49" ht="28.5" spans="1:18">
      <c r="A49" s="7">
        <v>48</v>
      </c>
      <c r="B49" s="8">
        <v>46224</v>
      </c>
      <c r="C49" s="7" t="s">
        <v>6</v>
      </c>
      <c r="D49" s="7" t="s">
        <v>164</v>
      </c>
      <c r="E49" s="7" t="s">
        <v>171</v>
      </c>
      <c r="F49" s="7" t="s">
        <v>186</v>
      </c>
      <c r="G49" s="7" t="s">
        <v>187</v>
      </c>
      <c r="H49" s="7" t="s">
        <v>188</v>
      </c>
      <c r="I49" s="7" t="s">
        <v>174</v>
      </c>
      <c r="J49" s="7"/>
      <c r="K49" s="8"/>
      <c r="L49" s="8"/>
      <c r="M49" s="7"/>
      <c r="N49" s="7"/>
      <c r="O49" s="8" t="str">
        <f>IF(OR($K49="",$M49=""),"",IFERROR($K49+VLOOKUP($M49,'Redo Rules'!$A$2:$D$5,4,FALSE),""))</f>
        <v/>
      </c>
      <c r="P49" s="7"/>
      <c r="Q49" s="7"/>
      <c r="R49" s="7"/>
    </row>
    <row r="50" ht="28.5" spans="1:18">
      <c r="A50" s="7">
        <v>49</v>
      </c>
      <c r="B50" s="8">
        <v>46225</v>
      </c>
      <c r="C50" s="7" t="s">
        <v>6</v>
      </c>
      <c r="D50" s="7" t="s">
        <v>164</v>
      </c>
      <c r="E50" s="7" t="s">
        <v>171</v>
      </c>
      <c r="F50" s="7" t="s">
        <v>189</v>
      </c>
      <c r="G50" s="7" t="s">
        <v>190</v>
      </c>
      <c r="H50" s="7" t="s">
        <v>191</v>
      </c>
      <c r="I50" s="7" t="s">
        <v>174</v>
      </c>
      <c r="J50" s="7"/>
      <c r="K50" s="8"/>
      <c r="L50" s="8"/>
      <c r="M50" s="7"/>
      <c r="N50" s="7"/>
      <c r="O50" s="8" t="str">
        <f>IF(OR($K50="",$M50=""),"",IFERROR($K50+VLOOKUP($M50,'Redo Rules'!$A$2:$D$5,4,FALSE),""))</f>
        <v/>
      </c>
      <c r="P50" s="7"/>
      <c r="Q50" s="7"/>
      <c r="R50" s="7"/>
    </row>
    <row r="51" ht="28.5" spans="1:18">
      <c r="A51" s="7">
        <v>50</v>
      </c>
      <c r="B51" s="8">
        <v>46226</v>
      </c>
      <c r="C51" s="7" t="s">
        <v>6</v>
      </c>
      <c r="D51" s="7" t="s">
        <v>164</v>
      </c>
      <c r="E51" s="7" t="s">
        <v>171</v>
      </c>
      <c r="F51" s="7" t="s">
        <v>192</v>
      </c>
      <c r="G51" s="7" t="s">
        <v>193</v>
      </c>
      <c r="H51" s="7" t="s">
        <v>194</v>
      </c>
      <c r="I51" s="7" t="s">
        <v>174</v>
      </c>
      <c r="J51" s="7"/>
      <c r="K51" s="8"/>
      <c r="L51" s="8"/>
      <c r="M51" s="7"/>
      <c r="N51" s="7"/>
      <c r="O51" s="8" t="str">
        <f>IF(OR($K51="",$M51=""),"",IFERROR($K51+VLOOKUP($M51,'Redo Rules'!$A$2:$D$5,4,FALSE),""))</f>
        <v/>
      </c>
      <c r="P51" s="7"/>
      <c r="Q51" s="7"/>
      <c r="R51" s="7"/>
    </row>
    <row r="52" ht="28.5" spans="1:18">
      <c r="A52" s="7">
        <v>51</v>
      </c>
      <c r="B52" s="8">
        <v>46227</v>
      </c>
      <c r="C52" s="7" t="s">
        <v>6</v>
      </c>
      <c r="D52" s="7" t="s">
        <v>164</v>
      </c>
      <c r="E52" s="7" t="s">
        <v>171</v>
      </c>
      <c r="F52" s="7" t="s">
        <v>195</v>
      </c>
      <c r="G52" s="7" t="s">
        <v>196</v>
      </c>
      <c r="H52" s="7" t="s">
        <v>197</v>
      </c>
      <c r="I52" s="7" t="s">
        <v>174</v>
      </c>
      <c r="J52" s="7"/>
      <c r="K52" s="8"/>
      <c r="L52" s="8"/>
      <c r="M52" s="7"/>
      <c r="N52" s="7"/>
      <c r="O52" s="8" t="str">
        <f>IF(OR($K52="",$M52=""),"",IFERROR($K52+VLOOKUP($M52,'Redo Rules'!$A$2:$D$5,4,FALSE),""))</f>
        <v/>
      </c>
      <c r="P52" s="7"/>
      <c r="Q52" s="7"/>
      <c r="R52" s="7"/>
    </row>
    <row r="53" ht="28.5" spans="1:18">
      <c r="A53" s="7">
        <v>52</v>
      </c>
      <c r="B53" s="8">
        <v>46228</v>
      </c>
      <c r="C53" s="7" t="s">
        <v>6</v>
      </c>
      <c r="D53" s="7" t="s">
        <v>164</v>
      </c>
      <c r="E53" s="7" t="s">
        <v>171</v>
      </c>
      <c r="F53" s="7" t="s">
        <v>198</v>
      </c>
      <c r="G53" s="7" t="s">
        <v>199</v>
      </c>
      <c r="H53" s="7" t="s">
        <v>173</v>
      </c>
      <c r="I53" s="7" t="s">
        <v>174</v>
      </c>
      <c r="J53" s="7"/>
      <c r="K53" s="8"/>
      <c r="L53" s="8"/>
      <c r="M53" s="7"/>
      <c r="N53" s="7"/>
      <c r="O53" s="8" t="str">
        <f>IF(OR($K53="",$M53=""),"",IFERROR($K53+VLOOKUP($M53,'Redo Rules'!$A$2:$D$5,4,FALSE),""))</f>
        <v/>
      </c>
      <c r="P53" s="7"/>
      <c r="Q53" s="7"/>
      <c r="R53" s="7"/>
    </row>
    <row r="54" ht="28.5" spans="1:18">
      <c r="A54" s="7">
        <v>53</v>
      </c>
      <c r="B54" s="8">
        <v>46229</v>
      </c>
      <c r="C54" s="7" t="s">
        <v>6</v>
      </c>
      <c r="D54" s="7" t="s">
        <v>164</v>
      </c>
      <c r="E54" s="7" t="s">
        <v>171</v>
      </c>
      <c r="F54" s="7" t="s">
        <v>200</v>
      </c>
      <c r="G54" s="7" t="s">
        <v>201</v>
      </c>
      <c r="H54" s="7" t="s">
        <v>191</v>
      </c>
      <c r="I54" s="7" t="s">
        <v>174</v>
      </c>
      <c r="J54" s="7"/>
      <c r="K54" s="8"/>
      <c r="L54" s="8"/>
      <c r="M54" s="7"/>
      <c r="N54" s="7"/>
      <c r="O54" s="8" t="str">
        <f>IF(OR($K54="",$M54=""),"",IFERROR($K54+VLOOKUP($M54,'Redo Rules'!$A$2:$D$5,4,FALSE),""))</f>
        <v/>
      </c>
      <c r="P54" s="7"/>
      <c r="Q54" s="7"/>
      <c r="R54" s="7"/>
    </row>
    <row r="55" ht="28.5" spans="1:18">
      <c r="A55" s="7">
        <v>54</v>
      </c>
      <c r="B55" s="8">
        <v>46230</v>
      </c>
      <c r="C55" s="7" t="s">
        <v>6</v>
      </c>
      <c r="D55" s="7" t="s">
        <v>164</v>
      </c>
      <c r="E55" s="7" t="s">
        <v>171</v>
      </c>
      <c r="F55" s="7" t="s">
        <v>202</v>
      </c>
      <c r="G55" s="7" t="s">
        <v>203</v>
      </c>
      <c r="H55" s="7" t="s">
        <v>173</v>
      </c>
      <c r="I55" s="7" t="s">
        <v>174</v>
      </c>
      <c r="J55" s="7"/>
      <c r="K55" s="8"/>
      <c r="L55" s="8"/>
      <c r="M55" s="7"/>
      <c r="N55" s="7"/>
      <c r="O55" s="8" t="str">
        <f>IF(OR($K55="",$M55=""),"",IFERROR($K55+VLOOKUP($M55,'Redo Rules'!$A$2:$D$5,4,FALSE),""))</f>
        <v/>
      </c>
      <c r="P55" s="7"/>
      <c r="Q55" s="7"/>
      <c r="R55" s="7"/>
    </row>
    <row r="56" ht="42.75" spans="1:18">
      <c r="A56" s="7">
        <v>55</v>
      </c>
      <c r="B56" s="8">
        <v>46231</v>
      </c>
      <c r="C56" s="7" t="s">
        <v>59</v>
      </c>
      <c r="D56" s="7" t="s">
        <v>164</v>
      </c>
      <c r="E56" s="7" t="s">
        <v>171</v>
      </c>
      <c r="F56" s="7" t="s">
        <v>204</v>
      </c>
      <c r="G56" s="7"/>
      <c r="H56" s="7" t="s">
        <v>205</v>
      </c>
      <c r="I56" s="7" t="s">
        <v>206</v>
      </c>
      <c r="J56" s="7" t="s">
        <v>207</v>
      </c>
      <c r="K56" s="8"/>
      <c r="L56" s="8"/>
      <c r="M56" s="7"/>
      <c r="N56" s="7"/>
      <c r="O56" s="8" t="str">
        <f>IF(OR($K56="",$M56=""),"",IFERROR($K56+VLOOKUP($M56,'Redo Rules'!$A$2:$D$5,4,FALSE),""))</f>
        <v/>
      </c>
      <c r="P56" s="7"/>
      <c r="Q56" s="7"/>
      <c r="R56" s="7"/>
    </row>
    <row r="57" ht="42.75" spans="1:18">
      <c r="A57" s="7">
        <v>56</v>
      </c>
      <c r="B57" s="8">
        <v>46232</v>
      </c>
      <c r="C57" s="7" t="s">
        <v>18</v>
      </c>
      <c r="D57" s="7" t="s">
        <v>208</v>
      </c>
      <c r="E57" s="7" t="s">
        <v>209</v>
      </c>
      <c r="F57" s="7" t="s">
        <v>210</v>
      </c>
      <c r="G57" s="7"/>
      <c r="H57" s="7"/>
      <c r="I57" s="7" t="s">
        <v>211</v>
      </c>
      <c r="J57" s="7"/>
      <c r="K57" s="8"/>
      <c r="L57" s="8"/>
      <c r="M57" s="7"/>
      <c r="N57" s="7"/>
      <c r="O57" s="8" t="str">
        <f>IF(OR($K57="",$M57=""),"",IFERROR($K57+VLOOKUP($M57,'Redo Rules'!$A$2:$D$5,4,FALSE),""))</f>
        <v/>
      </c>
      <c r="P57" s="7"/>
      <c r="Q57" s="7"/>
      <c r="R57" s="7"/>
    </row>
    <row r="58" ht="28.5" spans="1:18">
      <c r="A58" s="7">
        <v>57</v>
      </c>
      <c r="B58" s="8">
        <v>46233</v>
      </c>
      <c r="C58" s="7" t="s">
        <v>6</v>
      </c>
      <c r="D58" s="7" t="s">
        <v>208</v>
      </c>
      <c r="E58" s="7" t="s">
        <v>212</v>
      </c>
      <c r="F58" s="7" t="s">
        <v>213</v>
      </c>
      <c r="G58" s="7" t="s">
        <v>214</v>
      </c>
      <c r="H58" s="7" t="s">
        <v>215</v>
      </c>
      <c r="I58" s="7" t="s">
        <v>216</v>
      </c>
      <c r="J58" s="7"/>
      <c r="K58" s="8"/>
      <c r="L58" s="8"/>
      <c r="M58" s="7"/>
      <c r="N58" s="7"/>
      <c r="O58" s="8" t="str">
        <f>IF(OR($K58="",$M58=""),"",IFERROR($K58+VLOOKUP($M58,'Redo Rules'!$A$2:$D$5,4,FALSE),""))</f>
        <v/>
      </c>
      <c r="P58" s="7"/>
      <c r="Q58" s="7"/>
      <c r="R58" s="7"/>
    </row>
    <row r="59" ht="28.5" spans="1:18">
      <c r="A59" s="7">
        <v>58</v>
      </c>
      <c r="B59" s="8">
        <v>46234</v>
      </c>
      <c r="C59" s="7" t="s">
        <v>6</v>
      </c>
      <c r="D59" s="7" t="s">
        <v>208</v>
      </c>
      <c r="E59" s="7" t="s">
        <v>212</v>
      </c>
      <c r="F59" s="7" t="s">
        <v>217</v>
      </c>
      <c r="G59" s="7" t="s">
        <v>218</v>
      </c>
      <c r="H59" s="7" t="s">
        <v>219</v>
      </c>
      <c r="I59" s="7" t="s">
        <v>216</v>
      </c>
      <c r="J59" s="7"/>
      <c r="K59" s="8"/>
      <c r="L59" s="8"/>
      <c r="M59" s="7"/>
      <c r="N59" s="7"/>
      <c r="O59" s="8" t="str">
        <f>IF(OR($K59="",$M59=""),"",IFERROR($K59+VLOOKUP($M59,'Redo Rules'!$A$2:$D$5,4,FALSE),""))</f>
        <v/>
      </c>
      <c r="P59" s="7"/>
      <c r="Q59" s="7"/>
      <c r="R59" s="7"/>
    </row>
    <row r="60" ht="28.5" spans="1:18">
      <c r="A60" s="7">
        <v>59</v>
      </c>
      <c r="B60" s="8">
        <v>46235</v>
      </c>
      <c r="C60" s="7" t="s">
        <v>6</v>
      </c>
      <c r="D60" s="7" t="s">
        <v>208</v>
      </c>
      <c r="E60" s="7" t="s">
        <v>212</v>
      </c>
      <c r="F60" s="7" t="s">
        <v>220</v>
      </c>
      <c r="G60" s="7" t="s">
        <v>221</v>
      </c>
      <c r="H60" s="7" t="s">
        <v>222</v>
      </c>
      <c r="I60" s="7" t="s">
        <v>216</v>
      </c>
      <c r="J60" s="7"/>
      <c r="K60" s="8"/>
      <c r="L60" s="8"/>
      <c r="M60" s="7"/>
      <c r="N60" s="7"/>
      <c r="O60" s="8" t="str">
        <f>IF(OR($K60="",$M60=""),"",IFERROR($K60+VLOOKUP($M60,'Redo Rules'!$A$2:$D$5,4,FALSE),""))</f>
        <v/>
      </c>
      <c r="P60" s="7"/>
      <c r="Q60" s="7"/>
      <c r="R60" s="7"/>
    </row>
    <row r="61" ht="28.5" spans="1:18">
      <c r="A61" s="7">
        <v>60</v>
      </c>
      <c r="B61" s="8">
        <v>46236</v>
      </c>
      <c r="C61" s="7" t="s">
        <v>6</v>
      </c>
      <c r="D61" s="7" t="s">
        <v>208</v>
      </c>
      <c r="E61" s="7" t="s">
        <v>212</v>
      </c>
      <c r="F61" s="7" t="s">
        <v>223</v>
      </c>
      <c r="G61" s="7" t="s">
        <v>224</v>
      </c>
      <c r="H61" s="7" t="s">
        <v>225</v>
      </c>
      <c r="I61" s="7" t="s">
        <v>216</v>
      </c>
      <c r="J61" s="7"/>
      <c r="K61" s="8"/>
      <c r="L61" s="8"/>
      <c r="M61" s="7"/>
      <c r="N61" s="7"/>
      <c r="O61" s="8" t="str">
        <f>IF(OR($K61="",$M61=""),"",IFERROR($K61+VLOOKUP($M61,'Redo Rules'!$A$2:$D$5,4,FALSE),""))</f>
        <v/>
      </c>
      <c r="P61" s="7"/>
      <c r="Q61" s="7"/>
      <c r="R61" s="7"/>
    </row>
    <row r="62" ht="28.5" spans="1:18">
      <c r="A62" s="7">
        <v>61</v>
      </c>
      <c r="B62" s="8">
        <v>46237</v>
      </c>
      <c r="C62" s="7" t="s">
        <v>6</v>
      </c>
      <c r="D62" s="7" t="s">
        <v>208</v>
      </c>
      <c r="E62" s="7" t="s">
        <v>212</v>
      </c>
      <c r="F62" s="7" t="s">
        <v>226</v>
      </c>
      <c r="G62" s="7" t="s">
        <v>227</v>
      </c>
      <c r="H62" s="7" t="s">
        <v>228</v>
      </c>
      <c r="I62" s="7" t="s">
        <v>216</v>
      </c>
      <c r="J62" s="7"/>
      <c r="K62" s="8"/>
      <c r="L62" s="8"/>
      <c r="M62" s="7"/>
      <c r="N62" s="7"/>
      <c r="O62" s="8" t="str">
        <f>IF(OR($K62="",$M62=""),"",IFERROR($K62+VLOOKUP($M62,'Redo Rules'!$A$2:$D$5,4,FALSE),""))</f>
        <v/>
      </c>
      <c r="P62" s="7"/>
      <c r="Q62" s="7"/>
      <c r="R62" s="7"/>
    </row>
    <row r="63" ht="42.75" spans="1:18">
      <c r="A63" s="7">
        <v>62</v>
      </c>
      <c r="B63" s="8">
        <v>46238</v>
      </c>
      <c r="C63" s="7" t="s">
        <v>229</v>
      </c>
      <c r="D63" s="7" t="s">
        <v>230</v>
      </c>
      <c r="E63" s="7" t="s">
        <v>231</v>
      </c>
      <c r="F63" s="7" t="s">
        <v>232</v>
      </c>
      <c r="G63" s="7"/>
      <c r="H63" s="7"/>
      <c r="I63" s="7" t="s">
        <v>233</v>
      </c>
      <c r="J63" s="7"/>
      <c r="K63" s="8"/>
      <c r="L63" s="8"/>
      <c r="M63" s="7"/>
      <c r="N63" s="7"/>
      <c r="O63" s="8" t="str">
        <f>IF(OR($K63="",$M63=""),"",IFERROR($K63+VLOOKUP($M63,'Redo Rules'!$A$2:$D$5,4,FALSE),""))</f>
        <v/>
      </c>
      <c r="P63" s="7"/>
      <c r="Q63" s="7"/>
      <c r="R63" s="7"/>
    </row>
    <row r="64" ht="42.75" spans="1:18">
      <c r="A64" s="7">
        <v>63</v>
      </c>
      <c r="B64" s="8">
        <v>46239</v>
      </c>
      <c r="C64" s="7" t="s">
        <v>229</v>
      </c>
      <c r="D64" s="7" t="s">
        <v>230</v>
      </c>
      <c r="E64" s="7" t="s">
        <v>231</v>
      </c>
      <c r="F64" s="7" t="s">
        <v>234</v>
      </c>
      <c r="G64" s="7"/>
      <c r="H64" s="7"/>
      <c r="I64" s="7" t="s">
        <v>235</v>
      </c>
      <c r="J64" s="7"/>
      <c r="K64" s="8"/>
      <c r="L64" s="8"/>
      <c r="M64" s="7"/>
      <c r="N64" s="7"/>
      <c r="O64" s="8" t="str">
        <f>IF(OR($K64="",$M64=""),"",IFERROR($K64+VLOOKUP($M64,'Redo Rules'!$A$2:$D$5,4,FALSE),""))</f>
        <v/>
      </c>
      <c r="P64" s="7"/>
      <c r="Q64" s="7"/>
      <c r="R64" s="7"/>
    </row>
  </sheetData>
  <conditionalFormatting sqref="M2:M64">
    <cfRule type="expression" dxfId="0" priority="1">
      <formula>$M2="Totally ignorance"</formula>
    </cfRule>
    <cfRule type="expression" dxfId="1" priority="2">
      <formula>$M2="Spark"</formula>
    </cfRule>
    <cfRule type="expression" dxfId="2" priority="3">
      <formula>$M2="Skeleton"</formula>
    </cfRule>
    <cfRule type="expression" dxfId="3" priority="4">
      <formula>$M2="Crack it"</formula>
    </cfRule>
  </conditionalFormatting>
  <conditionalFormatting sqref="O2:O64">
    <cfRule type="expression" dxfId="4" priority="5">
      <formula>AND($O2&lt;&gt;"",$O2&lt;=TODAY(),$P2="")</formula>
    </cfRule>
  </conditionalFormatting>
  <dataValidations count="2">
    <dataValidation type="list" sqref="M2:M64">
      <formula1>"Totally ignorance,Spark,Skeleton,Crack it"</formula1>
    </dataValidation>
    <dataValidation type="list" sqref="Q2:Q64">
      <formula1>"Yes,No,Hold"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.25" outlineLevelCol="1"/>
  <cols>
    <col min="1" max="1" width="32" customWidth="1"/>
    <col min="2" max="2" width="60" customWidth="1"/>
  </cols>
  <sheetData>
    <row r="1" ht="15" spans="1:2">
      <c r="A1" s="1" t="s">
        <v>236</v>
      </c>
      <c r="B1" s="1" t="s">
        <v>237</v>
      </c>
    </row>
    <row r="2" ht="28.5" spans="1:2">
      <c r="A2" s="3" t="s">
        <v>238</v>
      </c>
      <c r="B2" s="3" t="s">
        <v>239</v>
      </c>
    </row>
    <row r="3" spans="1:2">
      <c r="A3" s="4" t="s">
        <v>237</v>
      </c>
      <c r="B3" s="4" t="s">
        <v>237</v>
      </c>
    </row>
    <row r="4" ht="15" spans="1:2">
      <c r="A4" s="5" t="s">
        <v>240</v>
      </c>
      <c r="B4" s="4">
        <f>COUNTA('Master Schedule'!$A$2:$A$64)</f>
        <v>63</v>
      </c>
    </row>
    <row r="5" ht="15" spans="1:2">
      <c r="A5" s="5" t="s">
        <v>241</v>
      </c>
      <c r="B5" s="4">
        <f>COUNTIF('Master Schedule'!$C$2:$C$64,"Read")</f>
        <v>10</v>
      </c>
    </row>
    <row r="6" ht="15" spans="1:2">
      <c r="A6" s="5" t="s">
        <v>242</v>
      </c>
      <c r="B6" s="4">
        <f>COUNTIF('Master Schedule'!$C$2:$C$64,"Exercise")</f>
        <v>46</v>
      </c>
    </row>
    <row r="7" ht="15" spans="1:2">
      <c r="A7" s="5" t="s">
        <v>243</v>
      </c>
      <c r="B7" s="4">
        <f>COUNTIF('Master Schedule'!$C$2:$C$64,"Gate")</f>
        <v>5</v>
      </c>
    </row>
    <row r="8" ht="15" spans="1:2">
      <c r="A8" s="5" t="s">
        <v>244</v>
      </c>
      <c r="B8" s="4">
        <f>COUNTIF('Master Schedule'!$C$2:$C$64,"Summary")</f>
        <v>2</v>
      </c>
    </row>
    <row r="9" ht="15" spans="1:2">
      <c r="A9" s="5" t="s">
        <v>245</v>
      </c>
      <c r="B9" s="4">
        <f>COUNTIF('Master Schedule'!$L$2:$L$64,"&lt;&gt;")</f>
        <v>1</v>
      </c>
    </row>
    <row r="10" ht="15" spans="1:2">
      <c r="A10" s="5" t="s">
        <v>246</v>
      </c>
      <c r="B10" s="4">
        <f ca="1">COUNTIFS('Master Schedule'!$O$2:$O$64,"&lt;="&amp;TODAY(),'Master Schedule'!$O$2:$O$64,"&gt;0",'Master Schedule'!$P$2:$P$64,"")</f>
        <v>0</v>
      </c>
    </row>
    <row r="11" spans="1:2">
      <c r="A11" s="4" t="s">
        <v>237</v>
      </c>
      <c r="B11" s="4" t="s">
        <v>237</v>
      </c>
    </row>
    <row r="12" ht="15" spans="1:2">
      <c r="A12" s="5" t="s">
        <v>247</v>
      </c>
      <c r="B12" s="4">
        <f>COUNTIF('Master Schedule'!$M$2:$M$64,"Totally ignorance")</f>
        <v>0</v>
      </c>
    </row>
    <row r="13" ht="15" spans="1:2">
      <c r="A13" s="5" t="s">
        <v>248</v>
      </c>
      <c r="B13" s="4">
        <f>COUNTIF('Master Schedule'!$M$2:$M$64,"Spark")</f>
        <v>0</v>
      </c>
    </row>
    <row r="14" ht="15" spans="1:2">
      <c r="A14" s="5" t="s">
        <v>35</v>
      </c>
      <c r="B14" s="4">
        <f>COUNTIF('Master Schedule'!$M$2:$M$64,"Skeleton")</f>
        <v>1</v>
      </c>
    </row>
    <row r="15" ht="15" spans="1:2">
      <c r="A15" s="5" t="s">
        <v>29</v>
      </c>
      <c r="B15" s="4">
        <f>COUNTIF('Master Schedule'!$M$2:$M$64,"Crack it")</f>
        <v>2</v>
      </c>
    </row>
    <row r="16" spans="1:2">
      <c r="A16" s="4" t="s">
        <v>237</v>
      </c>
      <c r="B16" s="4" t="s">
        <v>237</v>
      </c>
    </row>
    <row r="17" ht="15" spans="1:2">
      <c r="A17" s="5" t="s">
        <v>249</v>
      </c>
      <c r="B17" s="4" t="s">
        <v>250</v>
      </c>
    </row>
    <row r="18" ht="15" spans="1:2">
      <c r="A18" s="5" t="s">
        <v>251</v>
      </c>
      <c r="B18" s="4" t="s">
        <v>252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25" outlineLevelRow="5" outlineLevelCol="3"/>
  <cols>
    <col min="1" max="1" width="20" customWidth="1"/>
    <col min="2" max="2" width="34" customWidth="1"/>
    <col min="3" max="3" width="60" customWidth="1"/>
    <col min="4" max="4" width="16" customWidth="1"/>
  </cols>
  <sheetData>
    <row r="1" ht="30" spans="1:4">
      <c r="A1" s="1" t="s">
        <v>12</v>
      </c>
      <c r="B1" s="1" t="s">
        <v>253</v>
      </c>
      <c r="C1" s="1" t="s">
        <v>254</v>
      </c>
      <c r="D1" s="1" t="s">
        <v>255</v>
      </c>
    </row>
    <row r="2" spans="1:4">
      <c r="A2" t="s">
        <v>247</v>
      </c>
      <c r="B2" t="s">
        <v>256</v>
      </c>
      <c r="C2" t="s">
        <v>257</v>
      </c>
      <c r="D2" s="2">
        <v>1</v>
      </c>
    </row>
    <row r="3" spans="1:4">
      <c r="A3" t="s">
        <v>248</v>
      </c>
      <c r="B3" t="s">
        <v>258</v>
      </c>
      <c r="C3" t="s">
        <v>259</v>
      </c>
      <c r="D3" s="2">
        <v>2</v>
      </c>
    </row>
    <row r="4" spans="1:4">
      <c r="A4" t="s">
        <v>35</v>
      </c>
      <c r="B4" t="s">
        <v>260</v>
      </c>
      <c r="C4" t="s">
        <v>261</v>
      </c>
      <c r="D4" s="2">
        <v>2</v>
      </c>
    </row>
    <row r="5" spans="1:4">
      <c r="A5" t="s">
        <v>29</v>
      </c>
      <c r="B5" t="s">
        <v>262</v>
      </c>
      <c r="C5" t="s">
        <v>263</v>
      </c>
      <c r="D5" s="2">
        <v>2</v>
      </c>
    </row>
    <row r="6" spans="1:3">
      <c r="A6" t="s">
        <v>264</v>
      </c>
      <c r="B6" t="s">
        <v>265</v>
      </c>
      <c r="C6" t="s">
        <v>266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 Schedule</vt:lpstr>
      <vt:lpstr>Dashboard</vt:lpstr>
      <vt:lpstr>Redo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zhanwen.peng</cp:lastModifiedBy>
  <dcterms:created xsi:type="dcterms:W3CDTF">2026-06-05T01:38:00Z</dcterms:created>
  <dcterms:modified xsi:type="dcterms:W3CDTF">2026-06-05T07:22:41Z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