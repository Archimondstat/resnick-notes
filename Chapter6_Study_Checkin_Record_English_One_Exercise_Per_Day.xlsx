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10bfd2a29643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48c3cae5bf74e9d"/>
    <x:sheet xmlns:r="http://schemas.openxmlformats.org/officeDocument/2006/relationships" name="Protocol" sheetId="2" r:id="R66ca00ceaeb443dc"/>
    <x:sheet xmlns:r="http://schemas.openxmlformats.org/officeDocument/2006/relationships" name="Unit Plan" sheetId="3" r:id="R3c073b0a70f94f41"/>
    <x:sheet xmlns:r="http://schemas.openxmlformats.org/officeDocument/2006/relationships" name="Exercise Map" sheetId="4" r:id="R9bfac002ce324844"/>
    <x:sheet xmlns:r="http://schemas.openxmlformats.org/officeDocument/2006/relationships" name="Daily Log" sheetId="5" r:id="R4dcc96f812b74264"/>
  </x:sheets>
</x:workbook>
</file>

<file path=xl/comments1.xml><?xml version="1.0" encoding="utf-8"?>
<x:comments xmlns:x="http://schemas.openxmlformats.org/spreadsheetml/2006/main">
  <x:authors>
    <x:author>OpenAI</x:author>
  </x:authors>
  <x:commentList>
    <x:comment ref="A1" authorId="0">
      <x:text>
        <x:r>
          <x:t>Chapter 6 source file uploaded by user: /mnt/data/chap6.pdf</x:t>
        </x:r>
      </x:text>
    </x:comment>
    <x:comment ref="B3" authorId="0">
      <x:text>
        <x:r>
          <x:t>可选：如果你想用 Suggested Day 自动生成建议日期，就在这里填本章开始日期。</x:t>
        </x:r>
      </x:text>
    </x:comment>
  </x:commentList>
</x:comments>
</file>

<file path=xl/comments2.xml><?xml version="1.0" encoding="utf-8"?>
<x:comments xmlns:x="http://schemas.openxmlformats.org/spreadsheetml/2006/main">
  <x:authors>
    <x:author>OpenAI</x:author>
  </x:authors>
  <x:commentList>
    <x:comment ref="A1" authorId="0">
      <x:text>
        <x:r>
          <x:t>Built from the user's Chapter 6 PDF and the agreed study protocol. Source URL for Chapter 5 notes provided by user: https://archimondstat.github.io/resnick-notes/chap-5-integration-and-expectation.html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yyyy-mm-dd"/>
    <x:numFmt numFmtId="165" formatCode="0.0%"/>
    <x:numFmt numFmtId="166" formatCode="yyyy-mm-dd hh:mm"/>
  </x:numFmts>
  <x:fonts count="9">
    <x:font>
      <x:sz val="11"/>
      <x:color theme="1"/>
      <x:name val="Calibri"/>
      <x:family val="2"/>
      <x:scheme val="minor"/>
    </x:font>
    <x:font>
      <x:b/>
      <x:sz val="15"/>
    </x:font>
    <x:font>
      <x:color rgb="000000FF"/>
    </x:font>
    <x:font>
      <x:color rgb="00666666"/>
    </x:font>
    <x:font>
      <x:b/>
      <x:sz val="11"/>
      <x:color rgb="00FFFFFF"/>
    </x:font>
    <x:font>
      <x:color rgb="00008000"/>
    </x:font>
    <x:font>
      <x:i/>
      <x:color rgb="007030A0"/>
    </x:font>
    <x:font>
      <x:color rgb="00000000"/>
    </x:font>
    <x:font>
      <x:b/>
    </x:font>
  </x:fonts>
  <x:fills count="10">
    <x:fill>
      <x:patternFill patternType="none"/>
    </x:fill>
    <x:fill>
      <x:patternFill patternType="gray125"/>
    </x:fill>
    <x:fill>
      <x:patternFill patternType="solid">
        <x:fgColor rgb="00DDEBF7"/>
      </x:patternFill>
    </x:fill>
    <x:fill>
      <x:patternFill patternType="solid">
        <x:fgColor rgb="00E7E6E6"/>
      </x:patternFill>
    </x:fill>
    <x:fill>
      <x:patternFill patternType="solid">
        <x:fgColor rgb="000F766E"/>
      </x:patternFill>
    </x:fill>
    <x:fill>
      <x:patternFill patternType="solid">
        <x:fgColor rgb="00E2F0D9"/>
      </x:patternFill>
    </x:fill>
    <x:fill>
      <x:patternFill patternType="solid">
        <x:fgColor rgb="001F4E78"/>
      </x:patternFill>
    </x:fill>
    <x:fill>
      <x:patternFill patternType="solid">
        <x:fgColor rgb="00FCE4D6"/>
      </x:patternFill>
    </x:fill>
    <x:fill>
      <x:patternFill patternType="solid">
        <x:fgColor rgb="00F9F9F9"/>
      </x:patternFill>
    </x:fill>
    <x:fill>
      <x:patternFill patternType="solid">
        <x:fgColor rgb="00D9EAF7"/>
      </x:patternFill>
    </x:fill>
  </x:fills>
  <x:borders count="3">
    <x:border>
      <x:left/>
      <x:right/>
      <x:top/>
      <x:bottom/>
      <x:diagonal/>
    </x:border>
    <x:border>
      <x:top style="medium">
        <x:color rgb="001F4E78"/>
      </x:top>
      <x:bottom style="thin">
        <x:color rgb="00D0D0D0"/>
      </x:bottom>
    </x:border>
    <x:border>
      <x:bottom style="thin">
        <x:color rgb="00D0D0D0"/>
      </x:bottom>
    </x:border>
  </x:borders>
  <x:cellStyleXfs count="1">
    <x:xf numFmtId="0" fontId="0" fillId="0" borderId="0"/>
  </x:cellStyleXfs>
  <x:cellXfs count="48">
    <x:xf numFmtId="0" fontId="0" fillId="0" borderId="0" xfId="0"/>
    <x:xf numFmtId="0" fontId="1" fillId="0" borderId="0" xfId="0"/>
    <x:xf numFmtId="0" fontId="4" fillId="6" borderId="0" xfId="0" applyAlignment="1">
      <x:alignment horizontal="center" vertical="center"/>
    </x:xf>
    <x:xf numFmtId="0" fontId="8" fillId="9" borderId="0" xfId="0" applyAlignment="1">
      <x:alignment horizontal="center" vertical="center"/>
    </x:xf>
    <x:xf numFmtId="164" fontId="7" fillId="5" borderId="0" xfId="0" applyAlignment="1">
      <x:alignment horizontal="center" vertical="center"/>
    </x:xf>
    <x:xf numFmtId="1" fontId="7" fillId="5" borderId="0" xfId="0" applyAlignment="1">
      <x:alignment horizontal="center" vertical="center"/>
    </x:xf>
    <x:xf numFmtId="49" fontId="7" fillId="5" borderId="0" xfId="0" applyAlignment="1">
      <x:alignment horizontal="center" vertical="center"/>
    </x:xf>
    <x:xf numFmtId="165" fontId="7" fillId="9" borderId="0" xfId="0" applyAlignment="1">
      <x:alignment horizontal="center" vertical="center"/>
    </x:xf>
    <x:xf numFmtId="0" fontId="0" fillId="0" borderId="0" xfId="0" applyAlignment="1">
      <x:alignment horizontal="center" vertical="center"/>
    </x:xf>
    <x:xf numFmtId="0" fontId="4" fillId="4" borderId="0" xfId="0" applyAlignment="1">
      <x:alignment horizontal="center" vertical="center"/>
    </x:xf>
    <x:xf numFmtId="0" fontId="0" fillId="9" borderId="2" xfId="0" applyAlignment="1">
      <x:alignment horizontal="left" vertical="center" wrapText="1"/>
    </x:xf>
    <x:xf numFmtId="0" fontId="0" fillId="5" borderId="2" xfId="0" applyAlignment="1">
      <x:alignment horizontal="center" vertical="center"/>
    </x:xf>
    <x:xf numFmtId="0" fontId="0" fillId="7" borderId="2" xfId="0" applyAlignment="1">
      <x:alignment horizontal="left" vertical="center" wrapText="1"/>
    </x:xf>
    <x:xf numFmtId="0" fontId="2" fillId="2" borderId="0" xfId="0"/>
    <x:xf numFmtId="164" fontId="2" fillId="2" borderId="0" xfId="0"/>
    <x:xf numFmtId="0" fontId="3" fillId="3" borderId="0" xfId="0"/>
    <x:xf numFmtId="0" fontId="4" fillId="4" borderId="0" xfId="0"/>
    <x:xf numFmtId="0" fontId="0" fillId="0" borderId="0" xfId="0" applyAlignment="1">
      <x:alignment horizontal="left" vertical="center" wrapText="1"/>
    </x:xf>
    <x:xf numFmtId="164" fontId="5" fillId="5" borderId="0" xfId="0"/>
    <x:xf numFmtId="0" fontId="6" fillId="0" borderId="0" xfId="0"/>
    <x:xf numFmtId="0" fontId="4" fillId="6" borderId="1" xfId="0" applyAlignment="1">
      <x:alignment horizontal="center" vertical="center"/>
    </x:xf>
    <x:xf numFmtId="0" fontId="3" fillId="0" borderId="2" xfId="0" applyAlignment="1">
      <x:alignment horizontal="center" vertical="center"/>
    </x:xf>
    <x:xf numFmtId="0" fontId="3" fillId="0" borderId="2" xfId="0" applyAlignment="1">
      <x:alignment horizontal="left" vertical="center" wrapText="1"/>
    </x:xf>
    <x:xf numFmtId="0" fontId="2" fillId="0" borderId="2" xfId="0" applyAlignment="1">
      <x:alignment horizontal="center" vertical="center"/>
    </x:xf>
    <x:xf numFmtId="164" fontId="5" fillId="5" borderId="2" xfId="0" applyAlignment="1">
      <x:alignment horizontal="center" vertical="center"/>
    </x:xf>
    <x:xf numFmtId="166" fontId="0" fillId="2" borderId="2" xfId="0" applyAlignment="1">
      <x:alignment horizontal="center" vertical="center"/>
    </x:xf>
    <x:xf numFmtId="1" fontId="7" fillId="5" borderId="2" xfId="0" applyAlignment="1">
      <x:alignment horizontal="center" vertical="center"/>
    </x:xf>
    <x:xf numFmtId="0" fontId="0" fillId="2" borderId="2" xfId="0" applyAlignment="1">
      <x:alignment horizontal="center" vertical="center"/>
    </x:xf>
    <x:xf numFmtId="164" fontId="7" fillId="5" borderId="2" xfId="0" applyAlignment="1">
      <x:alignment horizontal="center" vertical="center"/>
    </x:xf>
    <x:xf numFmtId="0" fontId="0" fillId="2" borderId="2" xfId="0" applyAlignment="1">
      <x:alignment horizontal="left" vertical="center" wrapText="1"/>
    </x:xf>
    <x:xf numFmtId="0" fontId="0" fillId="7" borderId="2" xfId="0" applyAlignment="1">
      <x:alignment horizontal="center" vertical="center"/>
    </x:xf>
    <x:xf numFmtId="0" fontId="3" fillId="8" borderId="2" xfId="0" applyAlignment="1">
      <x:alignment horizontal="center" vertical="center"/>
    </x:xf>
    <x:xf numFmtId="0" fontId="3" fillId="8" borderId="2" xfId="0" applyAlignment="1">
      <x:alignment horizontal="left" vertical="center" wrapText="1"/>
    </x:xf>
    <x:xf numFmtId="0" fontId="2" fillId="8" borderId="2" xfId="0" applyAlignment="1">
      <x:alignment horizontal="center" vertical="center"/>
    </x:xf>
    <x:xf numFmtId="166" fontId="0" fillId="8" borderId="2" xfId="0" applyAlignment="1">
      <x:alignment horizontal="center" vertical="center"/>
    </x:xf>
    <x:xf numFmtId="1" fontId="7" fillId="8" borderId="2" xfId="0" applyAlignment="1">
      <x:alignment horizontal="center" vertical="center"/>
    </x:xf>
    <x:xf numFmtId="0" fontId="0" fillId="8" borderId="2" xfId="0" applyAlignment="1">
      <x:alignment horizontal="center" vertical="center"/>
    </x:xf>
    <x:xf numFmtId="0" fontId="0" fillId="0" borderId="2" xfId="0" applyAlignment="1">
      <x:alignment horizontal="center" vertical="center"/>
    </x:xf>
    <x:xf numFmtId="0" fontId="0" fillId="0" borderId="2" xfId="0" applyAlignment="1">
      <x:alignment horizontal="left" vertical="center" wrapText="1"/>
    </x:xf>
    <x:xf numFmtId="0" fontId="2" fillId="2" borderId="2" xfId="0" applyAlignment="1">
      <x:alignment horizontal="center" vertical="center"/>
    </x:xf>
    <x:xf numFmtId="164" fontId="2" fillId="2" borderId="2" xfId="0" applyAlignment="1">
      <x:alignment horizontal="center" vertical="center"/>
    </x:xf>
    <x:xf numFmtId="1" fontId="5" fillId="5" borderId="2" xfId="0" applyAlignment="1">
      <x:alignment horizontal="center" vertical="center"/>
    </x:xf>
    <x:xf numFmtId="0" fontId="2" fillId="2" borderId="2" xfId="0" applyAlignment="1">
      <x:alignment horizontal="left" vertical="center" wrapText="1"/>
    </x:xf>
    <x:xf numFmtId="1" fontId="2" fillId="2" borderId="2" xfId="0" applyAlignment="1">
      <x:alignment horizontal="center" vertical="center"/>
    </x:xf>
    <x:xf numFmtId="165" fontId="7" fillId="9" borderId="0" xfId="0" applyAlignment="1">
      <x:alignment horizontal="center" vertical="center"/>
    </x:xf>
    <x:xf numFmtId="166" fontId="0" fillId="2" borderId="2" xfId="0" applyAlignment="1">
      <x:alignment horizontal="center" vertical="center"/>
    </x:xf>
    <x:xf numFmtId="166" fontId="0" fillId="8" borderId="2" xfId="0" applyAlignment="1">
      <x:alignment horizontal="center" vertical="center"/>
    </x:xf>
    <x:xf numFmtId="49" fontId="5" fillId="5" borderId="0" xfId="0"/>
  </x:cellXfs>
  <x:cellStyles count="1">
    <x:cellStyle name="Normal" xfId="0"/>
  </x:cellStyles>
  <x:dxfs count="5">
    <x:dxf>
      <x:fill>
        <x:patternFill>
          <x:bgColor rgb="00E2F0D9"/>
        </x:patternFill>
      </x:fill>
    </x:dxf>
    <x:dxf>
      <x:fill>
        <x:patternFill>
          <x:bgColor rgb="00DDEBF7"/>
        </x:patternFill>
      </x:fill>
    </x:dxf>
    <x:dxf>
      <x:fill>
        <x:patternFill>
          <x:bgColor rgb="00FFF2CC"/>
        </x:patternFill>
      </x:fill>
    </x:dxf>
    <x:dxf>
      <x:fill>
        <x:patternFill>
          <x:bgColor rgb="00FCE4D6"/>
        </x:patternFill>
      </x:fill>
    </x:dxf>
    <x:dxf>
      <x:fill>
        <x:patternFill>
          <x:bgColor rgb="00F3F3F3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1a95e928024733" /><Relationship Type="http://schemas.openxmlformats.org/officeDocument/2006/relationships/theme" Target="/xl/theme/theme1.xml" Id="Rb3a9e70787104d8c" /><Relationship Type="http://schemas.openxmlformats.org/officeDocument/2006/relationships/sharedStrings" Target="/xl/sharedStrings.xml" Id="Ra86dbe39760a49f3" /><Relationship Type="http://schemas.openxmlformats.org/officeDocument/2006/relationships/worksheet" Target="/xl/worksheets/sheet1.xml" Id="R048c3cae5bf74e9d" /><Relationship Type="http://schemas.openxmlformats.org/officeDocument/2006/relationships/worksheet" Target="/xl/worksheets/sheet2.xml" Id="R66ca00ceaeb443dc" /><Relationship Type="http://schemas.openxmlformats.org/officeDocument/2006/relationships/worksheet" Target="/xl/worksheets/sheet3.xml" Id="R3c073b0a70f94f41" /><Relationship Type="http://schemas.openxmlformats.org/officeDocument/2006/relationships/worksheet" Target="/xl/worksheets/sheet4.xml" Id="R9bfac002ce324844" /><Relationship Type="http://schemas.openxmlformats.org/officeDocument/2006/relationships/worksheet" Target="/xl/worksheets/sheet5.xml" Id="R4dcc96f812b74264" /><Relationship Type="http://schemas.microsoft.com/office/2017/10/relationships/person" Target="/xl/persons/person.xml" Id="Re160729e14b841da" /></Relationships>
</file>

<file path=xl/persons/person.xml><?xml version="1.0" encoding="utf-8"?>
<xltc:personList xmlns:xltc="http://schemas.microsoft.com/office/spreadsheetml/2018/threadedcomments">
  <xltc:person displayName="OpenAI" id="{7C1CB30B-E044-09FE-A168-F10064139B9E}"/>
  <xltc:person displayName="OpenAI" id="{5AA07FA3-BA3D-0085-B4C5-BE8950A8E3BA}"/>
</xltc:personList>
</file>

<file path=xl/tables/table1.xml><?xml version="1.0" encoding="utf-8"?>
<x:table xmlns:x="http://schemas.openxmlformats.org/spreadsheetml/2006/main" id="1" name="UnitPlanTable" displayName="UnitPlanTable" ref="A4:V48" headerRowCount="1">
  <x:autoFilter ref="A4:V28"/>
  <x:tableColumns count="22">
    <x:tableColumn id="1" name="Unit ID"/>
    <x:tableColumn id="2" name="Suggested Seq"/>
    <x:tableColumn id="3" name="Type"/>
    <x:tableColumn id="4" name="Chapter Part"/>
    <x:tableColumn id="5" name="Topic / Task"/>
    <x:tableColumn id="6" name="Goal"/>
    <x:tableColumn id="7" name="Suggested Day"/>
    <x:tableColumn id="8" name="Suggested Date"/>
    <x:tableColumn id="9" name="Plan Read (min)"/>
    <x:tableColumn id="10" name="Plan Ex (min)"/>
    <x:tableColumn id="11" name="Read Start"/>
    <x:tableColumn id="12" name="Read End"/>
    <x:tableColumn id="13" name="Read Min"/>
    <x:tableColumn id="14" name="Ex Start"/>
    <x:tableColumn id="15" name="Ex End"/>
    <x:tableColumn id="16" name="Ex Min"/>
    <x:tableColumn id="17" name="Status"/>
    <x:tableColumn id="18" name="C1 Due"/>
    <x:tableColumn id="19" name="C1 Done?"/>
    <x:tableColumn id="20" name="Reproduce level"/>
    <x:tableColumn id="21" name="Notes"/>
    <x:tableColumn id="22" name="Link/Ref"/>
  </x:tableColumns>
  <x:tableStyleInfo name="TableStyleMedium2"/>
</x:table>
</file>

<file path=xl/tables/table2.xml><?xml version="1.0" encoding="utf-8"?>
<x:table xmlns:x="http://schemas.openxmlformats.org/spreadsheetml/2006/main" id="2" name="ExerciseMapTable" displayName="ExerciseMapTable" ref="A3:G35" headerRowCount="1">
  <x:autoFilter ref="A3:G15"/>
  <x:tableColumns count="7">
    <x:tableColumn id="1" name="Unit ID"/>
    <x:tableColumn id="2" name="Exercises"/>
    <x:tableColumn id="3" name="Topic Cluster"/>
    <x:tableColumn id="4" name="Why this set matters"/>
    <x:tableColumn id="5" name="Priority"/>
    <x:tableColumn id="6" name="Suggested after"/>
    <x:tableColumn id="7" name="Done?"/>
  </x:tableColumns>
  <x:tableStyleInfo name="TableStyleMedium2"/>
</x:table>
</file>

<file path=xl/tables/table3.xml><?xml version="1.0" encoding="utf-8"?>
<x:table xmlns:x="http://schemas.openxmlformats.org/spreadsheetml/2006/main" id="3" name="DailyLogTable" displayName="DailyLogTable" ref="A4:J64" headerRowCount="1">
  <x:autoFilter ref="A4:J39"/>
  <x:tableColumns count="10">
    <x:tableColumn id="1" name="Date"/>
    <x:tableColumn id="2" name="Day #"/>
    <x:tableColumn id="3" name="Units touched"/>
    <x:tableColumn id="4" name="Read min"/>
    <x:tableColumn id="5" name="Ex min"/>
    <x:tableColumn id="6" name="Actual total min"/>
    <x:tableColumn id="7" name="Big takeaway"/>
    <x:tableColumn id="8" name="Blocker"/>
    <x:tableColumn id="9" name="Next action"/>
    <x:tableColumn id="10" name="Mood / energy"/>
  </x:tableColumns>
  <x:tableStyleInfo name="TableStyleMedium2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b4ee8470b2b54afd" /><Relationship Type="http://schemas.openxmlformats.org/officeDocument/2006/relationships/vmlDrawing" Target="/xl/drawings/vmldrawing.vml" Id="R349044821990452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2.xml" Id="R8b3faf2a0b1749c1" /><Relationship Type="http://schemas.openxmlformats.org/officeDocument/2006/relationships/vmlDrawing" Target="/xl/drawings/vmldrawing2.vml" Id="R5fbd66c0f2f04882" /><Relationship Type="http://schemas.openxmlformats.org/officeDocument/2006/relationships/table" Target="/xl/tables/table1.xml" Id="R529966e4a772425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29a0c24b027c41e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3206f1c895054e6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14" customWidth="1"/>
    <x:col min="3" max="3" width="14" customWidth="1"/>
    <x:col min="4" max="4" width="34" customWidth="1"/>
  </x:cols>
  <x:sheetData>
    <x:row r="1" ht="24" customHeight="1">
      <x:c r="A1" s="1" t="inlineStr">
        <x:is>
          <x:t xml:space="preserve">Progress Dashboard</x:t>
        </x:is>
      </x:c>
    </x:row>
    <x:row r="2" ht="24" customHeight="1"/>
    <x:row r="3" ht="24" customHeight="1">
      <x:c r="A3" s="2" t="inlineStr">
        <x:is>
          <x:t xml:space="preserve">Metric</x:t>
        </x:is>
      </x:c>
      <x:c r="B3" s="2" t="inlineStr">
        <x:is>
          <x:t xml:space="preserve">Value</x:t>
        </x:is>
      </x:c>
      <x:c r="C3" s="2" t="inlineStr">
        <x:is>
          <x:t xml:space="preserve">Metric</x:t>
        </x:is>
      </x:c>
      <x:c r="D3" s="2" t="inlineStr">
        <x:is>
          <x:t xml:space="preserve">Value</x:t>
        </x:is>
      </x:c>
    </x:row>
    <x:row r="4" ht="24" customHeight="1">
      <x:c r="A4" s="3" t="inlineStr">
        <x:is>
          <x:t xml:space="preserve">Start Date</x:t>
        </x:is>
      </x:c>
      <x:c r="B4" s="6" t="inlineStr">
        <x:is>
          <x:t xml:space="preserve">see Protocol</x:t>
        </x:is>
      </x:c>
      <x:c r="C4" s="3" t="inlineStr">
        <x:is>
          <x:t xml:space="preserve">Open C1 Reviews</x:t>
        </x:is>
      </x:c>
      <x:c r="D4" s="5">
        <x:f>COUNTIFS('Unit Plan'!R5:R48,"&gt;0",'Unit Plan'!S5:S48,"&lt;&gt;Yes")</x:f>
        <x:v>0</x:v>
      </x:c>
    </x:row>
    <x:row r="5" ht="24" customHeight="1">
      <x:c r="A5" s="3" t="inlineStr">
        <x:is>
          <x:t xml:space="preserve">Total Units</x:t>
        </x:is>
      </x:c>
      <x:c r="B5" s="5">
        <x:f>COUNTA('Unit Plan'!A5:A48)</x:f>
        <x:v>44</x:v>
      </x:c>
      <x:c r="C5" s="3" t="inlineStr">
        <x:is>
          <x:t xml:space="preserve">Independent Reproductions</x:t>
        </x:is>
      </x:c>
      <x:c r="D5" s="5">
        <x:f>COUNTIF('Unit Plan'!T5:T48,"Independent")</x:f>
        <x:v>0</x:v>
      </x:c>
    </x:row>
    <x:row r="6" ht="24" customHeight="1">
      <x:c r="A6" s="3" t="inlineStr">
        <x:is>
          <x:t xml:space="preserve">Units Completed</x:t>
        </x:is>
      </x:c>
      <x:c r="B6" s="5">
        <x:f>COUNTIF('Unit Plan'!Q5:Q48,"Completed")</x:f>
        <x:v>0</x:v>
      </x:c>
      <x:c r="C6" s="3" t="inlineStr">
        <x:is>
          <x:t xml:space="preserve">Avg Read Min</x:t>
        </x:is>
      </x:c>
      <x:c r="D6" s="5">
        <x:f>IFERROR(AVERAGE('Unit Plan'!M5:M48),"")</x:f>
      </x:c>
    </x:row>
    <x:row r="7" ht="24" customHeight="1">
      <x:c r="A7" s="3" t="inlineStr">
        <x:is>
          <x:t xml:space="preserve">Reading Units Done</x:t>
        </x:is>
      </x:c>
      <x:c r="B7" s="5">
        <x:f>COUNTIFS('Unit Plan'!C5:C48,"Reading",'Unit Plan'!L5:L48,"&lt;&gt;")</x:f>
        <x:v>0</x:v>
      </x:c>
      <x:c r="C7" s="3" t="inlineStr">
        <x:is>
          <x:t xml:space="preserve">Avg Ex Min</x:t>
        </x:is>
      </x:c>
      <x:c r="D7" s="5">
        <x:f>IFERROR(AVERAGE('Unit Plan'!P5:P48),"")</x:f>
      </x:c>
    </x:row>
    <x:row r="8" ht="24" customHeight="1">
      <x:c r="A8" s="3" t="inlineStr">
        <x:is>
          <x:t xml:space="preserve">Exercise Units Done</x:t>
        </x:is>
      </x:c>
      <x:c r="B8" s="5">
        <x:f>COUNTIFS('Unit Plan'!C5:C48,"Exercise",'Unit Plan'!O5:O48,"&lt;&gt;")</x:f>
        <x:v>0</x:v>
      </x:c>
      <x:c r="C8" s="3" t="inlineStr">
        <x:is>
          <x:t xml:space="preserve">Daily Logs Filled</x:t>
        </x:is>
      </x:c>
      <x:c r="D8" s="5">
        <x:f>COUNTIF('Daily Log'!A5:A64,"&lt;&gt;")</x:f>
        <x:v>0</x:v>
      </x:c>
    </x:row>
    <x:row r="9" ht="24" customHeight="1">
      <x:c r="A9" s="3" t="inlineStr">
        <x:is>
          <x:t xml:space="preserve">Summary Units Done</x:t>
        </x:is>
      </x:c>
      <x:c r="B9" s="5">
        <x:f>COUNTIFS('Unit Plan'!C5:C28,"Summary",'Unit Plan'!L5:L28,"&lt;&gt;")</x:f>
        <x:v>0</x:v>
      </x:c>
      <x:c r="C9" s="3" t="inlineStr">
        <x:is>
          <x:t xml:space="preserve">Current Focus</x:t>
        </x:is>
      </x:c>
      <x:c r="D9" s="6" t="str">
        <x:f>IF(B6=B5,"All Completed","See Unit Plan")</x:f>
        <x:v>See Unit Plan</x:v>
      </x:c>
    </x:row>
    <x:row r="10" ht="24" customHeight="1">
      <x:c r="A10" s="3" t="inlineStr">
        <x:is>
          <x:t xml:space="preserve">Completion %</x:t>
        </x:is>
      </x:c>
      <x:c r="B10" s="44">
        <x:f>IF(B5=0,"",B6/B5)</x:f>
        <x:v>0</x:v>
      </x:c>
      <x:c r="C10" s="3" t="inlineStr">
        <x:is>
          <x:t xml:space="preserve">Last Completed Unit</x:t>
        </x:is>
      </x:c>
      <x:c r="D10" s="6">
        <x:f>IF(B6=0,"","See Unit Plan")</x:f>
      </x:c>
    </x:row>
    <x:row r="11" ht="24" customHeight="1">
      <x:c r="A11" s="8" t="n"/>
      <x:c r="B11" s="8" t="n"/>
      <x:c r="C11" s="8" t="n"/>
      <x:c r="D11" s="8" t="n"/>
    </x:row>
    <x:row r="12" ht="24" customHeight="1">
      <x:c r="A12" s="8" t="n"/>
      <x:c r="B12" s="8" t="n"/>
      <x:c r="C12" s="8" t="n"/>
      <x:c r="D12" s="8" t="n"/>
    </x:row>
    <x:row r="13" ht="24" customHeight="1">
      <x:c r="A13" s="9" t="inlineStr">
        <x:is>
          <x:t xml:space="preserve">Section Progress</x:t>
        </x:is>
      </x:c>
    </x:row>
    <x:row r="14" ht="24" customHeight="1">
      <x:c r="A14" s="2" t="inlineStr">
        <x:is>
          <x:t xml:space="preserve">Block</x:t>
        </x:is>
      </x:c>
      <x:c r="B14" s="2" t="inlineStr">
        <x:is>
          <x:t xml:space="preserve">Planned Units</x:t>
        </x:is>
      </x:c>
      <x:c r="C14" s="2" t="inlineStr">
        <x:is>
          <x:t xml:space="preserve">Completed</x:t>
        </x:is>
      </x:c>
      <x:c r="D14" s="2" t="inlineStr">
        <x:is>
          <x:t xml:space="preserve">Notes</x:t>
        </x:is>
      </x:c>
    </x:row>
    <x:row r="15" ht="24" customHeight="1">
      <x:c r="A15" s="10" t="inlineStr">
        <x:is>
          <x:t xml:space="preserve">6.1–6.3</x:t>
        </x:is>
      </x:c>
      <x:c r="B15" s="11">
        <x:f>COUNTIFS('Unit Plan'!D5:D28,"6.1")+COUNTIFS('Unit Plan'!D5:D28,"6.2")+COUNTIFS('Unit Plan'!D5:D28,"6.3(a)")+COUNTIFS('Unit Plan'!D5:D28,"6.3(b)")+COUNTIFS('Unit Plan'!D5:D28,"6.1–6.3")</x:f>
        <x:v>5</x:v>
      </x:c>
      <x:c r="C15" s="11">
        <x:f>COUNTIFS('Unit Plan'!Q5:Q28,"Completed",'Unit Plan'!D5:D28,"6.1")+COUNTIFS('Unit Plan'!Q5:Q28,"Completed",'Unit Plan'!D5:D28,"6.2")+COUNTIFS('Unit Plan'!Q5:Q28,"Completed",'Unit Plan'!D5:D28,"6.3(a)")+COUNTIFS('Unit Plan'!Q5:Q28,"Completed",'Unit Plan'!D5:D28,"6.3(b)")+COUNTIFS('Unit Plan'!Q5:Q28,"Completed",'Unit Plan'!D5:D28,"6.1–6.3")</x:f>
        <x:v>0</x:v>
      </x:c>
      <x:c r="D15" s="12" t="inlineStr">
        <x:is>
          <x:t xml:space="preserve">Ground the convergence relations first</x:t>
        </x:is>
      </x:c>
    </x:row>
    <x:row r="16" ht="24" customHeight="1">
      <x:c r="A16" s="10" t="inlineStr">
        <x:is>
          <x:t xml:space="preserve">6.4–6.6</x:t>
        </x:is>
      </x:c>
      <x:c r="B16" s="11">
        <x:f>COUNTIFS('Unit Plan'!D5:D28,"6.4")+COUNTIFS('Unit Plan'!D5:D28,"6.5")+COUNTIFS('Unit Plan'!D5:D28,"6.5.1")+COUNTIFS('Unit Plan'!D5:D28,"6.5.2")+COUNTIFS('Unit Plan'!D5:D28,"6.6 (part 1)")+COUNTIFS('Unit Plan'!D5:D28,"6.6 (part 2)")+COUNTIFS('Unit Plan'!D5:D28,"6.4–6.6")</x:f>
        <x:v>6</x:v>
      </x:c>
      <x:c r="C16" s="11">
        <x:f>COUNTIFS('Unit Plan'!Q5:Q28,"Completed",'Unit Plan'!D5:D28,"6.4")+COUNTIFS('Unit Plan'!Q5:Q28,"Completed",'Unit Plan'!D5:D28,"6.5")+COUNTIFS('Unit Plan'!Q5:Q28,"Completed",'Unit Plan'!D5:D28,"6.5.1")+COUNTIFS('Unit Plan'!Q5:Q28,"Completed",'Unit Plan'!D5:D28,"6.5.2")+COUNTIFS('Unit Plan'!Q5:Q28,"Completed",'Unit Plan'!D5:D28,"6.6 (part 1)")+COUNTIFS('Unit Plan'!Q5:Q28,"Completed",'Unit Plan'!D5:D28,"6.6 (part 2)")+COUNTIFS('Unit Plan'!Q5:Q28,"Completed",'Unit Plan'!D5:D28,"6.4–6.6")</x:f>
        <x:v>0</x:v>
      </x:c>
      <x:c r="D16" s="12" t="inlineStr">
        <x:is>
          <x:t xml:space="preserve">Slow down at UI and L_p</x:t>
        </x:is>
      </x:c>
    </x:row>
    <x:row r="17" ht="24" customHeight="1">
      <x:c r="A17" s="10" t="inlineStr">
        <x:is>
          <x:t xml:space="preserve">Exercises</x:t>
        </x:is>
      </x:c>
      <x:c r="B17" s="11">
        <x:f>COUNTIF('Unit Plan'!C5:C28,"Exercise")</x:f>
        <x:v>13</x:v>
      </x:c>
      <x:c r="C17" s="11">
        <x:f>COUNTIFS('Unit Plan'!C5:C28,"Exercise",'Unit Plan'!Q5:Q28,"Completed")</x:f>
        <x:v>0</x:v>
      </x:c>
      <x:c r="D17" s="12" t="inlineStr">
        <x:is>
          <x:t xml:space="preserve">Use Reproduce level before marking complete</x:t>
        </x:is>
      </x:c>
    </x:row>
  </x:sheetData>
  <x:mergeCells>
    <x:mergeCell ref="A1:D1"/>
    <x:mergeCell ref="A13:D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customWidth="1"/>
    <x:col min="2" max="2" width="15" customWidth="1"/>
    <x:col min="3" max="3" width="3" customWidth="1"/>
    <x:col min="4" max="4" width="20" customWidth="1"/>
    <x:col min="5" max="5" width="3" customWidth="1"/>
    <x:col min="6" max="6" width="20" customWidth="1"/>
    <x:col min="7" max="7" width="3" customWidth="1"/>
    <x:col min="8" max="8" width="3" customWidth="1"/>
    <x:col min="10" max="10" width="13" hidden="1" customWidth="1"/>
    <x:col min="11" max="11" width="13" hidden="1" customWidth="1"/>
  </x:cols>
  <x:sheetData>
    <x:row r="1" ht="22" customHeight="1">
      <x:c r="A1" s="1" t="inlineStr">
        <x:is>
          <x:t xml:space="preserve">Chapter 6 Study Check-In Guide (A Probability Path)</x:t>
        </x:is>
      </x:c>
      <x:c r="J1" t="inlineStr">
        <x:is>
          <x:t xml:space="preserve">Not Started</x:t>
        </x:is>
      </x:c>
      <x:c r="K1" t="inlineStr">
        <x:is>
          <x:t xml:space="preserve">Not started</x:t>
        </x:is>
      </x:c>
    </x:row>
    <x:row r="2" ht="22" customHeight="1">
      <x:c r="J2" t="inlineStr">
        <x:is>
          <x:t xml:space="preserve">Reading</x:t>
        </x:is>
      </x:c>
      <x:c r="K2" t="inlineStr">
        <x:is>
          <x:t xml:space="preserve">My idea only</x:t>
        </x:is>
      </x:c>
    </x:row>
    <x:row r="3" ht="22" customHeight="1">
      <x:c r="A3" s="13" t="inlineStr">
        <x:is>
          <x:t xml:space="preserve">Start Date (edit)</x:t>
        </x:is>
      </x:c>
      <x:c r="B3" s="14" t="n"/>
      <x:c r="D3" s="15" t="inlineStr">
        <x:is>
          <x:t xml:space="preserve">Status options</x:t>
        </x:is>
      </x:c>
      <x:c r="F3" s="15" t="inlineStr">
        <x:is>
          <x:t xml:space="preserve">Reproduce level</x:t>
        </x:is>
      </x:c>
      <x:c r="J3" t="inlineStr">
        <x:is>
          <x:t xml:space="preserve">Doing Exercises</x:t>
        </x:is>
      </x:c>
      <x:c r="K3" t="inlineStr">
        <x:is>
          <x:t xml:space="preserve">Compared with answer</x:t>
        </x:is>
      </x:c>
    </x:row>
    <x:row r="4" ht="22" customHeight="1">
      <x:c r="D4" t="inlineStr">
        <x:is>
          <x:t xml:space="preserve">Not Started</x:t>
        </x:is>
      </x:c>
      <x:c r="J4" t="inlineStr">
        <x:is>
          <x:t xml:space="preserve">Completed</x:t>
        </x:is>
      </x:c>
      <x:c r="K4" t="inlineStr">
        <x:is>
          <x:t xml:space="preserve">With help</x:t>
        </x:is>
      </x:c>
    </x:row>
    <x:row r="5" ht="22" customHeight="1">
      <x:c r="A5" s="16" t="inlineStr">
        <x:is>
          <x:t xml:space="preserve">Rules</x:t>
        </x:is>
      </x:c>
      <x:c r="J5" t="inlineStr">
        <x:is>
          <x:t xml:space="preserve">Review</x:t>
        </x:is>
      </x:c>
      <x:c r="K5" t="inlineStr">
        <x:is>
          <x:t xml:space="preserve">Independent</x:t>
        </x:is>
      </x:c>
    </x:row>
    <x:row r="6" ht="22" customHeight="1">
      <x:c r="A6" s="17" t="inlineStr">
        <x:is>
          <x:t xml:space="preserve">1. Track reading and exercises separately: use columns K–M for reading and N–P for exercises.</x:t>
        </x:is>
      </x:c>
    </x:row>
    <x:row r="7" ht="22" customHeight="1">
      <x:c r="A7" s="17" t="inlineStr">
        <x:is>
          <x:t xml:space="preserve">2. Actual start = when you begin the task; Actual end = when you truly finish that stage.</x:t>
        </x:is>
      </x:c>
    </x:row>
    <x:row r="8" ht="22" customHeight="1">
      <x:c r="A8" s="17" t="inlineStr">
        <x:is>
          <x:t xml:space="preserve">3. Exercise scheduling rule: plan at most one exercise problem per day.</x:t>
        </x:is>
      </x:c>
    </x:row>
    <x:row r="9" ht="22" customHeight="1">
      <x:c r="A9" s="17" t="inlineStr">
        <x:is>
          <x:t xml:space="preserve">4. For exercises, follow the protocol: write My idea first, then compare with the answer, then rewrite until independent.</x:t>
        </x:is>
      </x:c>
    </x:row>
    <x:row r="10" ht="22" customHeight="1">
      <x:c r="A10" s="17" t="inlineStr">
        <x:is>
          <x:t xml:space="preserve">5. C1 review is generated automatically as “exercise actual completion date + 2 days”.</x:t>
        </x:is>
      </x:c>
    </x:row>
    <x:row r="11" ht="22" customHeight="1">
      <x:c r="A11" s="17" t="inlineStr">
        <x:is>
          <x:t xml:space="preserve">6. Daily Log is for daily check-ins; Unit Plan is for tracking Chapter 6 by unit.</x:t>
        </x:is>
      </x:c>
    </x:row>
    <x:row r="12" ht="22" customHeight="1"/>
    <x:row r="13" ht="22" customHeight="1">
      <x:c r="A13" s="16" t="inlineStr">
        <x:is>
          <x:t xml:space="preserve">Suggested check-in order</x:t>
        </x:is>
      </x:c>
    </x:row>
    <x:row r="14" ht="22" customHeight="1">
      <x:c r="A14" s="17" t="inlineStr">
        <x:is>
          <x:t xml:space="preserve">First update status and times in Unit Plan, then add your daily reflection in Daily Log.</x:t>
        </x:is>
      </x:c>
    </x:row>
    <x:row r="15" ht="22" customHeight="1">
      <x:c r="A15" s="17" t="inlineStr">
        <x:is>
          <x:t xml:space="preserve">If a problem is not independently reproducible that day, keep Status as Doing Exercises and update Reproduce level to the current stage.</x:t>
        </x:is>
      </x:c>
    </x:row>
    <x:row r="16" ht="22" customHeight="1">
      <x:c r="A16" s="17" t="inlineStr">
        <x:is>
          <x:t xml:space="preserve">A Summary unit is complete when you can explain the core relationship map / counterexample bank in your own words.</x:t>
        </x:is>
      </x:c>
    </x:row>
  </x:sheetData>
  <x:mergeCells>
    <x:mergeCell ref="A9:H9"/>
    <x:mergeCell ref="A1:H1"/>
    <x:mergeCell ref="A15:H15"/>
    <x:mergeCell ref="A7:H7"/>
    <x:mergeCell ref="A16:H16"/>
    <x:mergeCell ref="A10:H10"/>
    <x:mergeCell ref="A13:H13"/>
    <x:mergeCell ref="A11:H11"/>
    <x:mergeCell ref="A14:H14"/>
    <x:mergeCell ref="A5:H5"/>
    <x:mergeCell ref="A8:H8"/>
    <x:mergeCell ref="A6:H6"/>
  </x:mergeCells>
  <x:pageMargins left="0.7" right="0.7" top="0.75" bottom="0.75" header="0.3" footer="0.3"/>
  <x:legacyDrawing xmlns:r="http://schemas.openxmlformats.org/officeDocument/2006/relationships" r:id="R3490448219904527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2" customWidth="1"/>
    <x:col min="3" max="3" width="11" customWidth="1"/>
    <x:col min="4" max="4" width="12" customWidth="1"/>
    <x:col min="5" max="5" width="28" customWidth="1"/>
    <x:col min="6" max="6" width="42" customWidth="1"/>
    <x:col min="7" max="7" width="12" customWidth="1"/>
    <x:col min="8" max="8" width="14" customWidth="1"/>
    <x:col min="9" max="9" width="12" customWidth="1"/>
    <x:col min="10" max="10" width="12" customWidth="1"/>
    <x:col min="11" max="11" width="17" customWidth="1"/>
    <x:col min="12" max="12" width="17" customWidth="1"/>
    <x:col min="13" max="13" width="10" customWidth="1"/>
    <x:col min="14" max="14" width="17" customWidth="1"/>
    <x:col min="15" max="15" width="17" customWidth="1"/>
    <x:col min="16" max="16" width="10" customWidth="1"/>
    <x:col min="17" max="17" width="16" customWidth="1"/>
    <x:col min="18" max="18" width="12" customWidth="1"/>
    <x:col min="19" max="19" width="10" customWidth="1"/>
    <x:col min="20" max="20" width="18" customWidth="1"/>
    <x:col min="21" max="21" width="26" customWidth="1"/>
    <x:col min="22" max="22" width="18" customWidth="1"/>
  </x:cols>
  <x:sheetData>
    <x:row r="1">
      <x:c r="A1" s="1" t="inlineStr">
        <x:is>
          <x:t xml:space="preserve">Chapter 6 Study Check-in Plan</x:t>
        </x:is>
      </x:c>
    </x:row>
    <x:row r="2">
      <x:c r="A2" s="15" t="inlineStr">
        <x:is>
          <x:t xml:space="preserve">Start Date (linked)</x:t>
        </x:is>
      </x:c>
      <x:c r="B2" s="47" t="inlineStr">
        <x:is>
          <x:t xml:space="preserve">edit in Protocol</x:t>
        </x:is>
      </x:c>
      <x:c r="D2" s="15" t="inlineStr">
        <x:is>
          <x:t xml:space="preserve">Protocol</x:t>
        </x:is>
      </x:c>
      <x:c r="E2" s="19" t="inlineStr">
        <x:is>
          <x:t xml:space="preserve">Read first, then do exercises; plan at most one exercise problem per day.</x:t>
        </x:is>
      </x:c>
    </x:row>
    <x:row r="4" ht="24" customHeight="1">
      <x:c r="A4" s="20" t="inlineStr">
        <x:is>
          <x:t xml:space="preserve">Unit ID</x:t>
        </x:is>
      </x:c>
      <x:c r="B4" s="20" t="inlineStr">
        <x:is>
          <x:t xml:space="preserve">Suggested Seq</x:t>
        </x:is>
      </x:c>
      <x:c r="C4" s="20" t="inlineStr">
        <x:is>
          <x:t xml:space="preserve">Type</x:t>
        </x:is>
      </x:c>
      <x:c r="D4" s="20" t="inlineStr">
        <x:is>
          <x:t xml:space="preserve">Chapter Part</x:t>
        </x:is>
      </x:c>
      <x:c r="E4" s="20" t="inlineStr">
        <x:is>
          <x:t xml:space="preserve">Topic / Task</x:t>
        </x:is>
      </x:c>
      <x:c r="F4" s="20" t="inlineStr">
        <x:is>
          <x:t xml:space="preserve">Goal</x:t>
        </x:is>
      </x:c>
      <x:c r="G4" s="20" t="inlineStr">
        <x:is>
          <x:t xml:space="preserve">Suggested Day</x:t>
        </x:is>
      </x:c>
      <x:c r="H4" s="20" t="inlineStr">
        <x:is>
          <x:t xml:space="preserve">Suggested Date</x:t>
        </x:is>
      </x:c>
      <x:c r="I4" s="20" t="inlineStr">
        <x:is>
          <x:t xml:space="preserve">Plan Read (min)</x:t>
        </x:is>
      </x:c>
      <x:c r="J4" s="20" t="inlineStr">
        <x:is>
          <x:t xml:space="preserve">Plan Ex (min)</x:t>
        </x:is>
      </x:c>
      <x:c r="K4" s="20" t="inlineStr">
        <x:is>
          <x:t xml:space="preserve">Read Start</x:t>
        </x:is>
      </x:c>
      <x:c r="L4" s="20" t="inlineStr">
        <x:is>
          <x:t xml:space="preserve">Read End</x:t>
        </x:is>
      </x:c>
      <x:c r="M4" s="20" t="inlineStr">
        <x:is>
          <x:t xml:space="preserve">Read Min</x:t>
        </x:is>
      </x:c>
      <x:c r="N4" s="20" t="inlineStr">
        <x:is>
          <x:t xml:space="preserve">Ex Start</x:t>
        </x:is>
      </x:c>
      <x:c r="O4" s="20" t="inlineStr">
        <x:is>
          <x:t xml:space="preserve">Ex End</x:t>
        </x:is>
      </x:c>
      <x:c r="P4" s="20" t="inlineStr">
        <x:is>
          <x:t xml:space="preserve">Ex Min</x:t>
        </x:is>
      </x:c>
      <x:c r="Q4" s="20" t="inlineStr">
        <x:is>
          <x:t xml:space="preserve">Status</x:t>
        </x:is>
      </x:c>
      <x:c r="R4" s="20" t="inlineStr">
        <x:is>
          <x:t xml:space="preserve">C1 Due</x:t>
        </x:is>
      </x:c>
      <x:c r="S4" s="20" t="inlineStr">
        <x:is>
          <x:t xml:space="preserve">C1 Done?</x:t>
        </x:is>
      </x:c>
      <x:c r="T4" s="20" t="inlineStr">
        <x:is>
          <x:t xml:space="preserve">Reproduce level</x:t>
        </x:is>
      </x:c>
      <x:c r="U4" s="20" t="inlineStr">
        <x:is>
          <x:t xml:space="preserve">Notes</x:t>
        </x:is>
      </x:c>
      <x:c r="V4" s="20" t="inlineStr">
        <x:is>
          <x:t xml:space="preserve">Link/Ref</x:t>
        </x:is>
      </x:c>
    </x:row>
    <x:row r="5" ht="24" customHeight="1">
      <x:c r="A5" s="21" t="inlineStr">
        <x:is>
          <x:t xml:space="preserve">R1</x:t>
        </x:is>
      </x:c>
      <x:c r="B5" s="21" t="n">
        <x:v>1</x:v>
      </x:c>
      <x:c r="C5" s="21" t="inlineStr">
        <x:is>
          <x:t xml:space="preserve">Reading</x:t>
        </x:is>
      </x:c>
      <x:c r="D5" s="21" t="inlineStr">
        <x:is>
          <x:t xml:space="preserve">6.1</x:t>
        </x:is>
      </x:c>
      <x:c r="E5" s="22" t="inlineStr">
        <x:is>
          <x:t xml:space="preserve">Almost Sure Convergence</x:t>
        </x:is>
      </x:c>
      <x:c r="F5" s="22" t="inlineStr">
        <x:is>
          <x:t xml:space="preserve">Definitions, exception set, a.s. equality, and limsup/liminf intuition</x:t>
        </x:is>
      </x:c>
      <x:c r="G5" s="23" t="n">
        <x:v>1</x:v>
      </x:c>
      <x:c r="H5" s="24">
        <x:f>IF(Protocol!$B$3="","",Protocol!$B$3+G5-1)</x:f>
      </x:c>
      <x:c r="I5" s="23" t="n">
        <x:v>60</x:v>
      </x:c>
      <x:c r="J5" s="23" t="n"/>
      <x:c r="K5" s="45" t="n"/>
      <x:c r="L5" s="45" t="n"/>
      <x:c r="M5" s="26">
        <x:f>IF(AND(K5&lt;&gt;"",L5&lt;&gt;""),(L5-K5)*1440,"")</x:f>
      </x:c>
      <x:c r="N5" s="45" t="n"/>
      <x:c r="O5" s="45" t="n"/>
      <x:c r="P5" s="26">
        <x:f>IF(AND(N5&lt;&gt;"",O5&lt;&gt;""),(O5-N5)*1440,"")</x:f>
      </x:c>
      <x:c r="Q5" s="27" t="inlineStr">
        <x:is>
          <x:t xml:space="preserve">Not Started</x:t>
        </x:is>
      </x:c>
      <x:c r="R5" s="28">
        <x:f>IF(O5&lt;&gt;"",INT(O5)+2,"")</x:f>
      </x:c>
      <x:c r="S5" s="27" t="inlineStr">
        <x:is>
          <x:t xml:space="preserve">No</x:t>
        </x:is>
      </x:c>
      <x:c r="T5" s="27" t="n"/>
      <x:c r="U5" s="29" t="n"/>
      <x:c r="V5" s="29" t="n"/>
    </x:row>
    <x:row r="6" ht="24" customHeight="1">
      <x:c r="A6" s="21" t="inlineStr">
        <x:is>
          <x:t xml:space="preserve">R2</x:t>
        </x:is>
      </x:c>
      <x:c r="B6" s="21" t="n">
        <x:v>2</x:v>
      </x:c>
      <x:c r="C6" s="21" t="inlineStr">
        <x:is>
          <x:t xml:space="preserve">Reading</x:t>
        </x:is>
      </x:c>
      <x:c r="D6" s="21" t="inlineStr">
        <x:is>
          <x:t xml:space="preserve">6.2</x:t>
        </x:is>
      </x:c>
      <x:c r="E6" s="22" t="inlineStr">
        <x:is>
          <x:t xml:space="preserve">Convergence in Probability + 6.2.1</x:t>
        </x:is>
      </x:c>
      <x:c r="F6" s="22" t="inlineStr">
        <x:is>
          <x:t xml:space="preserve">Match a.s. vs i.p. with weak/strong consistency</x:t>
        </x:is>
      </x:c>
      <x:c r="G6" s="23" t="n">
        <x:v>2</x:v>
      </x:c>
      <x:c r="H6" s="24">
        <x:f>IF(Protocol!$B$3="","",Protocol!$B$3+G6-1)</x:f>
      </x:c>
      <x:c r="I6" s="23" t="n">
        <x:v>60</x:v>
      </x:c>
      <x:c r="J6" s="23" t="n"/>
      <x:c r="K6" s="45" t="n"/>
      <x:c r="L6" s="45" t="n"/>
      <x:c r="M6" s="26">
        <x:f>IF(AND(K6&lt;&gt;"",L6&lt;&gt;""),(L6-K6)*1440,"")</x:f>
      </x:c>
      <x:c r="N6" s="45" t="n"/>
      <x:c r="O6" s="45" t="n"/>
      <x:c r="P6" s="26">
        <x:f>IF(AND(N6&lt;&gt;"",O6&lt;&gt;""),(O6-N6)*1440,"")</x:f>
      </x:c>
      <x:c r="Q6" s="27" t="inlineStr">
        <x:is>
          <x:t xml:space="preserve">Not Started</x:t>
        </x:is>
      </x:c>
      <x:c r="R6" s="28">
        <x:f>IF(O6&lt;&gt;"",INT(O6)+2,"")</x:f>
      </x:c>
      <x:c r="S6" s="27" t="inlineStr">
        <x:is>
          <x:t xml:space="preserve">No</x:t>
        </x:is>
      </x:c>
      <x:c r="T6" s="27" t="n"/>
      <x:c r="U6" s="29" t="n"/>
      <x:c r="V6" s="29" t="n"/>
    </x:row>
    <x:row r="7" ht="24" customHeight="1">
      <x:c r="A7" s="21" t="inlineStr">
        <x:is>
          <x:t xml:space="preserve">R3</x:t>
        </x:is>
      </x:c>
      <x:c r="B7" s="21" t="n">
        <x:v>3</x:v>
      </x:c>
      <x:c r="C7" s="21" t="inlineStr">
        <x:is>
          <x:t xml:space="preserve">Reading</x:t>
        </x:is>
      </x:c>
      <x:c r="D7" s="21" t="inlineStr">
        <x:is>
          <x:t xml:space="preserve">6.3(a)</x:t>
        </x:is>
      </x:c>
      <x:c r="E7" s="22" t="inlineStr">
        <x:is>
          <x:t xml:space="preserve">Cauchy in Probability</x:t>
        </x:is>
      </x:c>
      <x:c r="F7" s="22" t="inlineStr">
        <x:is>
          <x:t xml:space="preserve">Internalize the proof skeleton for “convergence in probability = Cauchy in probability”</x:t>
        </x:is>
      </x:c>
      <x:c r="G7" s="23" t="n">
        <x:v>3</x:v>
      </x:c>
      <x:c r="H7" s="24">
        <x:f>IF(Protocol!$B$3="","",Protocol!$B$3+G7-1)</x:f>
      </x:c>
      <x:c r="I7" s="23" t="n">
        <x:v>75</x:v>
      </x:c>
      <x:c r="J7" s="23" t="n"/>
      <x:c r="K7" s="45" t="n"/>
      <x:c r="L7" s="45" t="n"/>
      <x:c r="M7" s="26">
        <x:f>IF(AND(K7&lt;&gt;"",L7&lt;&gt;""),(L7-K7)*1440,"")</x:f>
      </x:c>
      <x:c r="N7" s="45" t="n"/>
      <x:c r="O7" s="45" t="n"/>
      <x:c r="P7" s="26">
        <x:f>IF(AND(N7&lt;&gt;"",O7&lt;&gt;""),(O7-N7)*1440,"")</x:f>
      </x:c>
      <x:c r="Q7" s="27" t="inlineStr">
        <x:is>
          <x:t xml:space="preserve">Not Started</x:t>
        </x:is>
      </x:c>
      <x:c r="R7" s="28">
        <x:f>IF(O7&lt;&gt;"",INT(O7)+2,"")</x:f>
      </x:c>
      <x:c r="S7" s="27" t="inlineStr">
        <x:is>
          <x:t xml:space="preserve">No</x:t>
        </x:is>
      </x:c>
      <x:c r="T7" s="27" t="n"/>
      <x:c r="U7" s="29" t="n"/>
      <x:c r="V7" s="29" t="n"/>
    </x:row>
    <x:row r="8" ht="24" customHeight="1">
      <x:c r="A8" s="21" t="inlineStr">
        <x:is>
          <x:t xml:space="preserve">R4</x:t>
        </x:is>
      </x:c>
      <x:c r="B8" s="21" t="n">
        <x:v>4</x:v>
      </x:c>
      <x:c r="C8" s="21" t="inlineStr">
        <x:is>
          <x:t xml:space="preserve">Reading</x:t>
        </x:is>
      </x:c>
      <x:c r="D8" s="21" t="inlineStr">
        <x:is>
          <x:t xml:space="preserve">6.3(b)</x:t>
        </x:is>
      </x:c>
      <x:c r="E8" s="22" t="inlineStr">
        <x:is>
          <x:t xml:space="preserve">Subsequence Criterion + Continuous Mapping</x:t>
        </x:is>
      </x:c>
      <x:c r="F8" s="22" t="inlineStr">
        <x:is>
          <x:t xml:space="preserve">Internalize “every subsequence has an a.s.-convergent subsubsequence”</x:t>
        </x:is>
      </x:c>
      <x:c r="G8" s="23" t="n">
        <x:v>4</x:v>
      </x:c>
      <x:c r="H8" s="24">
        <x:f>IF(Protocol!$B$3="","",Protocol!$B$3+G8-1)</x:f>
      </x:c>
      <x:c r="I8" s="23" t="n">
        <x:v>75</x:v>
      </x:c>
      <x:c r="J8" s="23" t="n"/>
      <x:c r="K8" s="45" t="n"/>
      <x:c r="L8" s="45" t="n"/>
      <x:c r="M8" s="26">
        <x:f>IF(AND(K8&lt;&gt;"",L8&lt;&gt;""),(L8-K8)*1440,"")</x:f>
      </x:c>
      <x:c r="N8" s="45" t="n"/>
      <x:c r="O8" s="45" t="n"/>
      <x:c r="P8" s="26">
        <x:f>IF(AND(N8&lt;&gt;"",O8&lt;&gt;""),(O8-N8)*1440,"")</x:f>
      </x:c>
      <x:c r="Q8" s="27" t="inlineStr">
        <x:is>
          <x:t xml:space="preserve">Not Started</x:t>
        </x:is>
      </x:c>
      <x:c r="R8" s="28">
        <x:f>IF(O8&lt;&gt;"",INT(O8)+2,"")</x:f>
      </x:c>
      <x:c r="S8" s="27" t="inlineStr">
        <x:is>
          <x:t xml:space="preserve">No</x:t>
        </x:is>
      </x:c>
      <x:c r="T8" s="27" t="n"/>
      <x:c r="U8" s="29" t="n"/>
      <x:c r="V8" s="29" t="n"/>
    </x:row>
    <x:row r="9" ht="24" customHeight="1">
      <x:c r="A9" s="21" t="inlineStr">
        <x:is>
          <x:t xml:space="preserve">E01</x:t>
        </x:is>
      </x:c>
      <x:c r="B9" s="21" t="n">
        <x:v>5</x:v>
      </x:c>
      <x:c r="C9" s="21" t="inlineStr">
        <x:is>
          <x:t xml:space="preserve">Exercise</x:t>
        </x:is>
      </x:c>
      <x:c r="D9" s="21" t="inlineStr">
        <x:is>
          <x:t xml:space="preserve">Ex 1</x:t>
        </x:is>
      </x:c>
      <x:c r="E9" s="22" t="inlineStr">
        <x:is>
          <x:t xml:space="preserve">Exercise 1 — Core convergence 1</x:t>
        </x:is>
      </x:c>
      <x:c r="F9" s="22" t="inlineStr">
        <x:is>
          <x:t xml:space="preserve">Foundational problem on definitions and criteria</x:t>
        </x:is>
      </x:c>
      <x:c r="G9" s="23" t="n">
        <x:v>5</x:v>
      </x:c>
      <x:c r="H9" s="24">
        <x:f>IF(Protocol!$B$3="","",Protocol!$B$3+G9-1)</x:f>
      </x:c>
      <x:c r="I9" s="23" t="n"/>
      <x:c r="J9" s="23" t="n">
        <x:v>60</x:v>
      </x:c>
      <x:c r="K9" s="45" t="n"/>
      <x:c r="L9" s="45" t="n"/>
      <x:c r="M9" s="26">
        <x:f>IF(AND(K9&lt;&gt;"",L9&lt;&gt;""),(L9-K9)*1440,"")</x:f>
      </x:c>
      <x:c r="N9" s="45" t="n"/>
      <x:c r="O9" s="45" t="n"/>
      <x:c r="P9" s="26">
        <x:f>IF(AND(N9&lt;&gt;"",O9&lt;&gt;""),(O9-N9)*1440,"")</x:f>
      </x:c>
      <x:c r="Q9" s="30" t="inlineStr">
        <x:is>
          <x:t xml:space="preserve">Not Started</x:t>
        </x:is>
      </x:c>
      <x:c r="R9" s="28">
        <x:f>IF(O9&lt;&gt;"",INT(O9)+2,"")</x:f>
      </x:c>
      <x:c r="S9" s="27" t="inlineStr">
        <x:is>
          <x:t xml:space="preserve">No</x:t>
        </x:is>
      </x:c>
      <x:c r="T9" s="30" t="n"/>
      <x:c r="U9" s="29" t="n"/>
      <x:c r="V9" s="29" t="n"/>
    </x:row>
    <x:row r="10" ht="24" customHeight="1">
      <x:c r="A10" s="21" t="inlineStr">
        <x:is>
          <x:t xml:space="preserve">E12</x:t>
        </x:is>
      </x:c>
      <x:c r="B10" s="21" t="n">
        <x:v>6</x:v>
      </x:c>
      <x:c r="C10" s="21" t="inlineStr">
        <x:is>
          <x:t xml:space="preserve">Exercise</x:t>
        </x:is>
      </x:c>
      <x:c r="D10" s="21" t="inlineStr">
        <x:is>
          <x:t xml:space="preserve">Ex 12</x:t>
        </x:is>
      </x:c>
      <x:c r="E10" s="22" t="inlineStr">
        <x:is>
          <x:t xml:space="preserve">Exercise 12 — Core convergence 1</x:t>
        </x:is>
      </x:c>
      <x:c r="F10" s="22" t="inlineStr">
        <x:is>
          <x:t xml:space="preserve">Foundational problem on definitions and criteria</x:t>
        </x:is>
      </x:c>
      <x:c r="G10" s="23" t="n">
        <x:v>6</x:v>
      </x:c>
      <x:c r="H10" s="24">
        <x:f>IF(Protocol!$B$3="","",Protocol!$B$3+G10-1)</x:f>
      </x:c>
      <x:c r="I10" s="23" t="n"/>
      <x:c r="J10" s="23" t="n">
        <x:v>60</x:v>
      </x:c>
      <x:c r="K10" s="45" t="n"/>
      <x:c r="L10" s="45" t="n"/>
      <x:c r="M10" s="26">
        <x:f>IF(AND(K10&lt;&gt;"",L10&lt;&gt;""),(L10-K10)*1440,"")</x:f>
      </x:c>
      <x:c r="N10" s="45" t="n"/>
      <x:c r="O10" s="45" t="n"/>
      <x:c r="P10" s="26">
        <x:f>IF(AND(N10&lt;&gt;"",O10&lt;&gt;""),(O10-N10)*1440,"")</x:f>
      </x:c>
      <x:c r="Q10" s="30" t="inlineStr">
        <x:is>
          <x:t xml:space="preserve">Not Started</x:t>
        </x:is>
      </x:c>
      <x:c r="R10" s="28">
        <x:f>IF(O10&lt;&gt;"",INT(O10)+2,"")</x:f>
      </x:c>
      <x:c r="S10" s="27" t="inlineStr">
        <x:is>
          <x:t xml:space="preserve">No</x:t>
        </x:is>
      </x:c>
      <x:c r="T10" s="30" t="n"/>
      <x:c r="U10" s="29" t="n"/>
      <x:c r="V10" s="29" t="n"/>
    </x:row>
    <x:row r="11" ht="24" customHeight="1">
      <x:c r="A11" s="21" t="inlineStr">
        <x:is>
          <x:t xml:space="preserve">E17</x:t>
        </x:is>
      </x:c>
      <x:c r="B11" s="21" t="n">
        <x:v>7</x:v>
      </x:c>
      <x:c r="C11" s="21" t="inlineStr">
        <x:is>
          <x:t xml:space="preserve">Exercise</x:t>
        </x:is>
      </x:c>
      <x:c r="D11" s="21" t="inlineStr">
        <x:is>
          <x:t xml:space="preserve">Ex 17</x:t>
        </x:is>
      </x:c>
      <x:c r="E11" s="22" t="inlineStr">
        <x:is>
          <x:t xml:space="preserve">Exercise 17 — Core convergence 2</x:t>
        </x:is>
      </x:c>
      <x:c r="F11" s="22" t="inlineStr">
        <x:is>
          <x:t xml:space="preserve">Basic property: discrete case / event comparison / distance idea</x:t>
        </x:is>
      </x:c>
      <x:c r="G11" s="23" t="n">
        <x:v>7</x:v>
      </x:c>
      <x:c r="H11" s="24">
        <x:f>IF(Protocol!$B$3="","",Protocol!$B$3+G11-1)</x:f>
      </x:c>
      <x:c r="I11" s="23" t="n"/>
      <x:c r="J11" s="23" t="n">
        <x:v>50</x:v>
      </x:c>
      <x:c r="K11" s="45" t="n"/>
      <x:c r="L11" s="45" t="n"/>
      <x:c r="M11" s="26">
        <x:f>IF(AND(K11&lt;&gt;"",L11&lt;&gt;""),(L11-K11)*1440,"")</x:f>
      </x:c>
      <x:c r="N11" s="45" t="n"/>
      <x:c r="O11" s="45" t="n"/>
      <x:c r="P11" s="26">
        <x:f>IF(AND(N11&lt;&gt;"",O11&lt;&gt;""),(O11-N11)*1440,"")</x:f>
      </x:c>
      <x:c r="Q11" s="30" t="inlineStr">
        <x:is>
          <x:t xml:space="preserve">Not Started</x:t>
        </x:is>
      </x:c>
      <x:c r="R11" s="28">
        <x:f>IF(O11&lt;&gt;"",INT(O11)+2,"")</x:f>
      </x:c>
      <x:c r="S11" s="27" t="inlineStr">
        <x:is>
          <x:t xml:space="preserve">No</x:t>
        </x:is>
      </x:c>
      <x:c r="T11" s="30" t="n"/>
      <x:c r="U11" s="29" t="n"/>
      <x:c r="V11" s="29" t="n"/>
    </x:row>
    <x:row r="12" ht="24" customHeight="1">
      <x:c r="A12" s="21" t="inlineStr">
        <x:is>
          <x:t xml:space="preserve">E19</x:t>
        </x:is>
      </x:c>
      <x:c r="B12" s="21" t="n">
        <x:v>8</x:v>
      </x:c>
      <x:c r="C12" s="21" t="inlineStr">
        <x:is>
          <x:t xml:space="preserve">Exercise</x:t>
        </x:is>
      </x:c>
      <x:c r="D12" s="21" t="inlineStr">
        <x:is>
          <x:t xml:space="preserve">Ex 19</x:t>
        </x:is>
      </x:c>
      <x:c r="E12" s="22" t="inlineStr">
        <x:is>
          <x:t xml:space="preserve">Exercise 19 — Core convergence 2</x:t>
        </x:is>
      </x:c>
      <x:c r="F12" s="22" t="inlineStr">
        <x:is>
          <x:t xml:space="preserve">Basic property: discrete case / event comparison / distance idea</x:t>
        </x:is>
      </x:c>
      <x:c r="G12" s="23" t="n">
        <x:v>8</x:v>
      </x:c>
      <x:c r="H12" s="24">
        <x:f>IF(Protocol!$B$3="","",Protocol!$B$3+G12-1)</x:f>
      </x:c>
      <x:c r="I12" s="23" t="n"/>
      <x:c r="J12" s="23" t="n">
        <x:v>50</x:v>
      </x:c>
      <x:c r="K12" s="45" t="n"/>
      <x:c r="L12" s="45" t="n"/>
      <x:c r="M12" s="26">
        <x:f>IF(AND(K12&lt;&gt;"",L12&lt;&gt;""),(L12-K12)*1440,"")</x:f>
      </x:c>
      <x:c r="N12" s="45" t="n"/>
      <x:c r="O12" s="45" t="n"/>
      <x:c r="P12" s="26">
        <x:f>IF(AND(N12&lt;&gt;"",O12&lt;&gt;""),(O12-N12)*1440,"")</x:f>
      </x:c>
      <x:c r="Q12" s="30" t="inlineStr">
        <x:is>
          <x:t xml:space="preserve">Not Started</x:t>
        </x:is>
      </x:c>
      <x:c r="R12" s="28">
        <x:f>IF(O12&lt;&gt;"",INT(O12)+2,"")</x:f>
      </x:c>
      <x:c r="S12" s="27" t="inlineStr">
        <x:is>
          <x:t xml:space="preserve">No</x:t>
        </x:is>
      </x:c>
      <x:c r="T12" s="30" t="n"/>
      <x:c r="U12" s="29" t="n"/>
      <x:c r="V12" s="29" t="n"/>
    </x:row>
    <x:row r="13" ht="24" customHeight="1">
      <x:c r="A13" s="21" t="inlineStr">
        <x:is>
          <x:t xml:space="preserve">E21</x:t>
        </x:is>
      </x:c>
      <x:c r="B13" s="21" t="n">
        <x:v>9</x:v>
      </x:c>
      <x:c r="C13" s="21" t="inlineStr">
        <x:is>
          <x:t xml:space="preserve">Exercise</x:t>
        </x:is>
      </x:c>
      <x:c r="D13" s="21" t="inlineStr">
        <x:is>
          <x:t xml:space="preserve">Ex 21</x:t>
        </x:is>
      </x:c>
      <x:c r="E13" s="22" t="inlineStr">
        <x:is>
          <x:t xml:space="preserve">Exercise 21 — Core convergence 2</x:t>
        </x:is>
      </x:c>
      <x:c r="F13" s="22" t="inlineStr">
        <x:is>
          <x:t xml:space="preserve">Basic property: discrete case / event comparison / distance idea</x:t>
        </x:is>
      </x:c>
      <x:c r="G13" s="23" t="n">
        <x:v>9</x:v>
      </x:c>
      <x:c r="H13" s="24">
        <x:f>IF(Protocol!$B$3="","",Protocol!$B$3+G13-1)</x:f>
      </x:c>
      <x:c r="I13" s="23" t="n"/>
      <x:c r="J13" s="23" t="n">
        <x:v>50</x:v>
      </x:c>
      <x:c r="K13" s="45" t="n"/>
      <x:c r="L13" s="45" t="n"/>
      <x:c r="M13" s="26">
        <x:f>IF(AND(K13&lt;&gt;"",L13&lt;&gt;""),(L13-K13)*1440,"")</x:f>
      </x:c>
      <x:c r="N13" s="45" t="n"/>
      <x:c r="O13" s="45" t="n"/>
      <x:c r="P13" s="26">
        <x:f>IF(AND(N13&lt;&gt;"",O13&lt;&gt;""),(O13-N13)*1440,"")</x:f>
      </x:c>
      <x:c r="Q13" s="30" t="inlineStr">
        <x:is>
          <x:t xml:space="preserve">Not Started</x:t>
        </x:is>
      </x:c>
      <x:c r="R13" s="28">
        <x:f>IF(O13&lt;&gt;"",INT(O13)+2,"")</x:f>
      </x:c>
      <x:c r="S13" s="27" t="inlineStr">
        <x:is>
          <x:t xml:space="preserve">No</x:t>
        </x:is>
      </x:c>
      <x:c r="T13" s="30" t="n"/>
      <x:c r="U13" s="29" t="n"/>
      <x:c r="V13" s="29" t="n"/>
    </x:row>
    <x:row r="14" ht="24" customHeight="1">
      <x:c r="A14" s="21" t="inlineStr">
        <x:is>
          <x:t xml:space="preserve">E24</x:t>
        </x:is>
      </x:c>
      <x:c r="B14" s="21" t="n">
        <x:v>10</x:v>
      </x:c>
      <x:c r="C14" s="21" t="inlineStr">
        <x:is>
          <x:t xml:space="preserve">Exercise</x:t>
        </x:is>
      </x:c>
      <x:c r="D14" s="21" t="inlineStr">
        <x:is>
          <x:t xml:space="preserve">Ex 24</x:t>
        </x:is>
      </x:c>
      <x:c r="E14" s="22" t="inlineStr">
        <x:is>
          <x:t xml:space="preserve">Exercise 24 — Subsequence / mapping / metric</x:t>
        </x:is>
      </x:c>
      <x:c r="F14" s="22" t="inlineStr">
        <x:is>
          <x:t xml:space="preserve">Apply the core ideas of Section 6.3</x:t>
        </x:is>
      </x:c>
      <x:c r="G14" s="23" t="n">
        <x:v>10</x:v>
      </x:c>
      <x:c r="H14" s="24">
        <x:f>IF(Protocol!$B$3="","",Protocol!$B$3+G14-1)</x:f>
      </x:c>
      <x:c r="I14" s="23" t="n"/>
      <x:c r="J14" s="23" t="n">
        <x:v>60</x:v>
      </x:c>
      <x:c r="K14" s="45" t="n"/>
      <x:c r="L14" s="45" t="n"/>
      <x:c r="M14" s="26">
        <x:f>IF(AND(K14&lt;&gt;"",L14&lt;&gt;""),(L14-K14)*1440,"")</x:f>
      </x:c>
      <x:c r="N14" s="45" t="n"/>
      <x:c r="O14" s="45" t="n"/>
      <x:c r="P14" s="26">
        <x:f>IF(AND(N14&lt;&gt;"",O14&lt;&gt;""),(O14-N14)*1440,"")</x:f>
      </x:c>
      <x:c r="Q14" s="30" t="inlineStr">
        <x:is>
          <x:t xml:space="preserve">Not Started</x:t>
        </x:is>
      </x:c>
      <x:c r="R14" s="28">
        <x:f>IF(O14&lt;&gt;"",INT(O14)+2,"")</x:f>
      </x:c>
      <x:c r="S14" s="27" t="inlineStr">
        <x:is>
          <x:t xml:space="preserve">No</x:t>
        </x:is>
      </x:c>
      <x:c r="T14" s="30" t="n"/>
      <x:c r="U14" s="29" t="n"/>
      <x:c r="V14" s="29" t="n"/>
    </x:row>
    <x:row r="15" ht="24" customHeight="1">
      <x:c r="A15" s="21" t="inlineStr">
        <x:is>
          <x:t xml:space="preserve">E25</x:t>
        </x:is>
      </x:c>
      <x:c r="B15" s="21" t="n">
        <x:v>11</x:v>
      </x:c>
      <x:c r="C15" s="21" t="inlineStr">
        <x:is>
          <x:t xml:space="preserve">Exercise</x:t>
        </x:is>
      </x:c>
      <x:c r="D15" s="21" t="inlineStr">
        <x:is>
          <x:t xml:space="preserve">Ex 25</x:t>
        </x:is>
      </x:c>
      <x:c r="E15" s="22" t="inlineStr">
        <x:is>
          <x:t xml:space="preserve">Exercise 25 — Subsequence / mapping / metric</x:t>
        </x:is>
      </x:c>
      <x:c r="F15" s="22" t="inlineStr">
        <x:is>
          <x:t xml:space="preserve">Apply the core ideas of Section 6.3</x:t>
        </x:is>
      </x:c>
      <x:c r="G15" s="23" t="n">
        <x:v>11</x:v>
      </x:c>
      <x:c r="H15" s="24">
        <x:f>IF(Protocol!$B$3="","",Protocol!$B$3+G15-1)</x:f>
      </x:c>
      <x:c r="I15" s="23" t="n"/>
      <x:c r="J15" s="23" t="n">
        <x:v>60</x:v>
      </x:c>
      <x:c r="K15" s="45" t="n"/>
      <x:c r="L15" s="45" t="n"/>
      <x:c r="M15" s="26">
        <x:f>IF(AND(K15&lt;&gt;"",L15&lt;&gt;""),(L15-K15)*1440,"")</x:f>
      </x:c>
      <x:c r="N15" s="45" t="n"/>
      <x:c r="O15" s="45" t="n"/>
      <x:c r="P15" s="26">
        <x:f>IF(AND(N15&lt;&gt;"",O15&lt;&gt;""),(O15-N15)*1440,"")</x:f>
      </x:c>
      <x:c r="Q15" s="30" t="inlineStr">
        <x:is>
          <x:t xml:space="preserve">Not Started</x:t>
        </x:is>
      </x:c>
      <x:c r="R15" s="28">
        <x:f>IF(O15&lt;&gt;"",INT(O15)+2,"")</x:f>
      </x:c>
      <x:c r="S15" s="27" t="inlineStr">
        <x:is>
          <x:t xml:space="preserve">No</x:t>
        </x:is>
      </x:c>
      <x:c r="T15" s="30" t="n"/>
      <x:c r="U15" s="29" t="n"/>
      <x:c r="V15" s="29" t="n"/>
    </x:row>
    <x:row r="16" ht="24" customHeight="1">
      <x:c r="A16" s="31" t="inlineStr">
        <x:is>
          <x:t xml:space="preserve">S1</x:t>
        </x:is>
      </x:c>
      <x:c r="B16" s="31" t="n">
        <x:v>12</x:v>
      </x:c>
      <x:c r="C16" s="31" t="inlineStr">
        <x:is>
          <x:t xml:space="preserve">Summary</x:t>
        </x:is>
      </x:c>
      <x:c r="D16" s="31" t="inlineStr">
        <x:is>
          <x:t xml:space="preserve">6.1–6.3</x:t>
        </x:is>
      </x:c>
      <x:c r="E16" s="32" t="inlineStr">
        <x:is>
          <x:t xml:space="preserve">Summary Block 1</x:t>
        </x:is>
      </x:c>
      <x:c r="F16" s="32" t="inlineStr">
        <x:is>
          <x:t xml:space="preserve">Draw the relationship map: a.s. / i.p. / subsequence / continuous mapping</x:t>
        </x:is>
      </x:c>
      <x:c r="G16" s="33" t="n">
        <x:v>12</x:v>
      </x:c>
      <x:c r="H16" s="24">
        <x:f>IF(Protocol!$B$3="","",Protocol!$B$3+G16-1)</x:f>
      </x:c>
      <x:c r="I16" s="33" t="n">
        <x:v>45</x:v>
      </x:c>
      <x:c r="J16" s="33" t="n"/>
      <x:c r="K16" s="45" t="n"/>
      <x:c r="L16" s="45" t="n"/>
      <x:c r="M16" s="26">
        <x:f>IF(AND(K16&lt;&gt;"",L16&lt;&gt;""),(L16-K16)*1440,"")</x:f>
      </x:c>
      <x:c r="N16" s="46" t="n"/>
      <x:c r="O16" s="46" t="n"/>
      <x:c r="P16" s="35">
        <x:f>IF(AND(N16&lt;&gt;"",O16&lt;&gt;""),(O16-N16)*1440,"")</x:f>
      </x:c>
      <x:c r="Q16" s="27" t="inlineStr">
        <x:is>
          <x:t xml:space="preserve">Not Started</x:t>
        </x:is>
      </x:c>
      <x:c r="R16" s="28">
        <x:f>IF(O16&lt;&gt;"",INT(O16)+2,"")</x:f>
      </x:c>
      <x:c r="S16" s="36" t="inlineStr">
        <x:is>
          <x:t xml:space="preserve">No</x:t>
        </x:is>
      </x:c>
      <x:c r="T16" s="36" t="n"/>
      <x:c r="U16" s="29" t="n"/>
      <x:c r="V16" s="29" t="n"/>
    </x:row>
    <x:row r="17" ht="24" customHeight="1">
      <x:c r="A17" s="21" t="inlineStr">
        <x:is>
          <x:t xml:space="preserve">R5</x:t>
        </x:is>
      </x:c>
      <x:c r="B17" s="21" t="n">
        <x:v>13</x:v>
      </x:c>
      <x:c r="C17" s="21" t="inlineStr">
        <x:is>
          <x:t xml:space="preserve">Reading</x:t>
        </x:is>
      </x:c>
      <x:c r="D17" s="21" t="inlineStr">
        <x:is>
          <x:t xml:space="preserve">6.4</x:t>
        </x:is>
      </x:c>
      <x:c r="E17" s="22" t="inlineStr">
        <x:is>
          <x:t xml:space="preserve">Quantile Estimation</x:t>
        </x:is>
      </x:c>
      <x:c r="F17" s="22" t="inlineStr">
        <x:is>
          <x:t xml:space="preserve">Understand why quantile consistency is a natural application</x:t>
        </x:is>
      </x:c>
      <x:c r="G17" s="23" t="n">
        <x:v>13</x:v>
      </x:c>
      <x:c r="H17" s="24">
        <x:f>IF(Protocol!$B$3="","",Protocol!$B$3+G17-1)</x:f>
      </x:c>
      <x:c r="I17" s="23" t="n">
        <x:v>50</x:v>
      </x:c>
      <x:c r="J17" s="23" t="n"/>
      <x:c r="K17" s="45" t="n"/>
      <x:c r="L17" s="45" t="n"/>
      <x:c r="M17" s="26">
        <x:f>IF(AND(K17&lt;&gt;"",L17&lt;&gt;""),(L17-K17)*1440,"")</x:f>
      </x:c>
      <x:c r="N17" s="45" t="n"/>
      <x:c r="O17" s="45" t="n"/>
      <x:c r="P17" s="26">
        <x:f>IF(AND(N17&lt;&gt;"",O17&lt;&gt;""),(O17-N17)*1440,"")</x:f>
      </x:c>
      <x:c r="Q17" s="27" t="inlineStr">
        <x:is>
          <x:t xml:space="preserve">Not Started</x:t>
        </x:is>
      </x:c>
      <x:c r="R17" s="28">
        <x:f>IF(O17&lt;&gt;"",INT(O17)+2,"")</x:f>
      </x:c>
      <x:c r="S17" s="27" t="inlineStr">
        <x:is>
          <x:t xml:space="preserve">No</x:t>
        </x:is>
      </x:c>
      <x:c r="T17" s="27" t="n"/>
      <x:c r="U17" s="29" t="n"/>
      <x:c r="V17" s="29" t="n"/>
    </x:row>
    <x:row r="18" ht="24" customHeight="1">
      <x:c r="A18" s="21" t="inlineStr">
        <x:is>
          <x:t xml:space="preserve">R6</x:t>
        </x:is>
      </x:c>
      <x:c r="B18" s="21" t="n">
        <x:v>14</x:v>
      </x:c>
      <x:c r="C18" s="21" t="inlineStr">
        <x:is>
          <x:t xml:space="preserve">Reading</x:t>
        </x:is>
      </x:c>
      <x:c r="D18" s="21" t="inlineStr">
        <x:is>
          <x:t xml:space="preserve">6.5</x:t>
        </x:is>
      </x:c>
      <x:c r="E18" s="22" t="inlineStr">
        <x:is>
          <x:t xml:space="preserve">L_p Convergence</x:t>
        </x:is>
      </x:c>
      <x:c r="F18" s="22" t="inlineStr">
        <x:is>
          <x:t xml:space="preserve">Remember the definition, strength relations, and standard counterexamples</x:t>
        </x:is>
      </x:c>
      <x:c r="G18" s="23" t="n">
        <x:v>14</x:v>
      </x:c>
      <x:c r="H18" s="24">
        <x:f>IF(Protocol!$B$3="","",Protocol!$B$3+G18-1)</x:f>
      </x:c>
      <x:c r="I18" s="23" t="n">
        <x:v>70</x:v>
      </x:c>
      <x:c r="J18" s="23" t="n"/>
      <x:c r="K18" s="45" t="n"/>
      <x:c r="L18" s="45" t="n"/>
      <x:c r="M18" s="26">
        <x:f>IF(AND(K18&lt;&gt;"",L18&lt;&gt;""),(L18-K18)*1440,"")</x:f>
      </x:c>
      <x:c r="N18" s="45" t="n"/>
      <x:c r="O18" s="45" t="n"/>
      <x:c r="P18" s="26">
        <x:f>IF(AND(N18&lt;&gt;"",O18&lt;&gt;""),(O18-N18)*1440,"")</x:f>
      </x:c>
      <x:c r="Q18" s="27" t="inlineStr">
        <x:is>
          <x:t xml:space="preserve">Not Started</x:t>
        </x:is>
      </x:c>
      <x:c r="R18" s="28">
        <x:f>IF(O18&lt;&gt;"",INT(O18)+2,"")</x:f>
      </x:c>
      <x:c r="S18" s="27" t="inlineStr">
        <x:is>
          <x:t xml:space="preserve">No</x:t>
        </x:is>
      </x:c>
      <x:c r="T18" s="27" t="n"/>
      <x:c r="U18" s="29" t="n"/>
      <x:c r="V18" s="29" t="n"/>
    </x:row>
    <x:row r="19" ht="24" customHeight="1">
      <x:c r="A19" s="21" t="inlineStr">
        <x:is>
          <x:t xml:space="preserve">R7</x:t>
        </x:is>
      </x:c>
      <x:c r="B19" s="21" t="n">
        <x:v>15</x:v>
      </x:c>
      <x:c r="C19" s="21" t="inlineStr">
        <x:is>
          <x:t xml:space="preserve">Reading</x:t>
        </x:is>
      </x:c>
      <x:c r="D19" s="21" t="inlineStr">
        <x:is>
          <x:t xml:space="preserve">6.5.1</x:t>
        </x:is>
      </x:c>
      <x:c r="E19" s="22" t="inlineStr">
        <x:is>
          <x:t xml:space="preserve">Uniform Integrability</x:t>
        </x:is>
      </x:c>
      <x:c r="F19" s="22" t="inlineStr">
        <x:is>
          <x:t xml:space="preserve">First aim to use it: why UI is the bridge</x:t>
        </x:is>
      </x:c>
      <x:c r="G19" s="23" t="n">
        <x:v>15</x:v>
      </x:c>
      <x:c r="H19" s="24">
        <x:f>IF(Protocol!$B$3="","",Protocol!$B$3+G19-1)</x:f>
      </x:c>
      <x:c r="I19" s="23" t="n">
        <x:v>80</x:v>
      </x:c>
      <x:c r="J19" s="23" t="n"/>
      <x:c r="K19" s="45" t="n"/>
      <x:c r="L19" s="45" t="n"/>
      <x:c r="M19" s="26">
        <x:f>IF(AND(K19&lt;&gt;"",L19&lt;&gt;""),(L19-K19)*1440,"")</x:f>
      </x:c>
      <x:c r="N19" s="45" t="n"/>
      <x:c r="O19" s="45" t="n"/>
      <x:c r="P19" s="26">
        <x:f>IF(AND(N19&lt;&gt;"",O19&lt;&gt;""),(O19-N19)*1440,"")</x:f>
      </x:c>
      <x:c r="Q19" s="27" t="inlineStr">
        <x:is>
          <x:t xml:space="preserve">Not Started</x:t>
        </x:is>
      </x:c>
      <x:c r="R19" s="28">
        <x:f>IF(O19&lt;&gt;"",INT(O19)+2,"")</x:f>
      </x:c>
      <x:c r="S19" s="27" t="inlineStr">
        <x:is>
          <x:t xml:space="preserve">No</x:t>
        </x:is>
      </x:c>
      <x:c r="T19" s="27" t="n"/>
      <x:c r="U19" s="29" t="n"/>
      <x:c r="V19" s="29" t="n"/>
    </x:row>
    <x:row r="20" ht="24" customHeight="1">
      <x:c r="A20" s="21" t="inlineStr">
        <x:is>
          <x:t xml:space="preserve">R8</x:t>
        </x:is>
      </x:c>
      <x:c r="B20" s="21" t="n">
        <x:v>16</x:v>
      </x:c>
      <x:c r="C20" s="21" t="inlineStr">
        <x:is>
          <x:t xml:space="preserve">Reading</x:t>
        </x:is>
      </x:c>
      <x:c r="D20" s="21" t="inlineStr">
        <x:is>
          <x:t xml:space="preserve">6.5.2</x:t>
        </x:is>
      </x:c>
      <x:c r="E20" s="22" t="inlineStr">
        <x:is>
          <x:t xml:space="preserve">Inequalities Review</x:t>
        </x:is>
      </x:c>
      <x:c r="F20" s="22" t="inlineStr">
        <x:is>
          <x:t xml:space="preserve">How Schwarz / Hölder / Minkowski are used later</x:t>
        </x:is>
      </x:c>
      <x:c r="G20" s="23" t="n">
        <x:v>16</x:v>
      </x:c>
      <x:c r="H20" s="24">
        <x:f>IF(Protocol!$B$3="","",Protocol!$B$3+G20-1)</x:f>
      </x:c>
      <x:c r="I20" s="23" t="n">
        <x:v>60</x:v>
      </x:c>
      <x:c r="J20" s="23" t="n"/>
      <x:c r="K20" s="45" t="n"/>
      <x:c r="L20" s="45" t="n"/>
      <x:c r="M20" s="26">
        <x:f>IF(AND(K20&lt;&gt;"",L20&lt;&gt;""),(L20-K20)*1440,"")</x:f>
      </x:c>
      <x:c r="N20" s="45" t="n"/>
      <x:c r="O20" s="45" t="n"/>
      <x:c r="P20" s="26">
        <x:f>IF(AND(N20&lt;&gt;"",O20&lt;&gt;""),(O20-N20)*1440,"")</x:f>
      </x:c>
      <x:c r="Q20" s="27" t="inlineStr">
        <x:is>
          <x:t xml:space="preserve">Not Started</x:t>
        </x:is>
      </x:c>
      <x:c r="R20" s="28">
        <x:f>IF(O20&lt;&gt;"",INT(O20)+2,"")</x:f>
      </x:c>
      <x:c r="S20" s="27" t="inlineStr">
        <x:is>
          <x:t xml:space="preserve">No</x:t>
        </x:is>
      </x:c>
      <x:c r="T20" s="27" t="n"/>
      <x:c r="U20" s="29" t="n"/>
      <x:c r="V20" s="29" t="n"/>
    </x:row>
    <x:row r="21" ht="24" customHeight="1">
      <x:c r="A21" s="21" t="inlineStr">
        <x:is>
          <x:t xml:space="preserve">R9</x:t>
        </x:is>
      </x:c>
      <x:c r="B21" s="21" t="n">
        <x:v>17</x:v>
      </x:c>
      <x:c r="C21" s="21" t="inlineStr">
        <x:is>
          <x:t xml:space="preserve">Reading</x:t>
        </x:is>
      </x:c>
      <x:c r="D21" s="21" t="inlineStr">
        <x:is>
          <x:t xml:space="preserve">6.6 (part 1)</x:t>
        </x:is>
      </x:c>
      <x:c r="E21" s="22" t="inlineStr">
        <x:is>
          <x:t xml:space="preserve">More on L_p Convergence I</x:t>
        </x:is>
      </x:c>
      <x:c r="F21" s="22" t="inlineStr">
        <x:is>
          <x:t xml:space="preserve">First master the L1 version and key lemma</x:t>
        </x:is>
      </x:c>
      <x:c r="G21" s="23" t="n">
        <x:v>17</x:v>
      </x:c>
      <x:c r="H21" s="24">
        <x:f>IF(Protocol!$B$3="","",Protocol!$B$3+G21-1)</x:f>
      </x:c>
      <x:c r="I21" s="23" t="n">
        <x:v>80</x:v>
      </x:c>
      <x:c r="J21" s="23" t="n"/>
      <x:c r="K21" s="45" t="n"/>
      <x:c r="L21" s="45" t="n"/>
      <x:c r="M21" s="26">
        <x:f>IF(AND(K21&lt;&gt;"",L21&lt;&gt;""),(L21-K21)*1440,"")</x:f>
      </x:c>
      <x:c r="N21" s="45" t="n"/>
      <x:c r="O21" s="45" t="n"/>
      <x:c r="P21" s="26">
        <x:f>IF(AND(N21&lt;&gt;"",O21&lt;&gt;""),(O21-N21)*1440,"")</x:f>
      </x:c>
      <x:c r="Q21" s="27" t="inlineStr">
        <x:is>
          <x:t xml:space="preserve">Not Started</x:t>
        </x:is>
      </x:c>
      <x:c r="R21" s="28">
        <x:f>IF(O21&lt;&gt;"",INT(O21)+2,"")</x:f>
      </x:c>
      <x:c r="S21" s="27" t="inlineStr">
        <x:is>
          <x:t xml:space="preserve">No</x:t>
        </x:is>
      </x:c>
      <x:c r="T21" s="27" t="n"/>
      <x:c r="U21" s="29" t="n"/>
      <x:c r="V21" s="29" t="n"/>
    </x:row>
    <x:row r="22" ht="24" customHeight="1">
      <x:c r="A22" s="21" t="inlineStr">
        <x:is>
          <x:t xml:space="preserve">R10</x:t>
        </x:is>
      </x:c>
      <x:c r="B22" s="21" t="n">
        <x:v>18</x:v>
      </x:c>
      <x:c r="C22" s="21" t="inlineStr">
        <x:is>
          <x:t xml:space="preserve">Reading</x:t>
        </x:is>
      </x:c>
      <x:c r="D22" s="21" t="inlineStr">
        <x:is>
          <x:t xml:space="preserve">6.6 (part 2)</x:t>
        </x:is>
      </x:c>
      <x:c r="E22" s="22" t="inlineStr">
        <x:is>
          <x:t xml:space="preserve">More on L_p Convergence II</x:t>
        </x:is>
      </x:c>
      <x:c r="F22" s="22" t="inlineStr">
        <x:is>
          <x:t xml:space="preserve">Clarify the bridges among Lp-Cauchy, UI, and convergence in probability</x:t>
        </x:is>
      </x:c>
      <x:c r="G22" s="23" t="n">
        <x:v>18</x:v>
      </x:c>
      <x:c r="H22" s="24">
        <x:f>IF(Protocol!$B$3="","",Protocol!$B$3+G22-1)</x:f>
      </x:c>
      <x:c r="I22" s="23" t="n">
        <x:v>80</x:v>
      </x:c>
      <x:c r="J22" s="23" t="n"/>
      <x:c r="K22" s="45" t="n"/>
      <x:c r="L22" s="45" t="n"/>
      <x:c r="M22" s="26">
        <x:f>IF(AND(K22&lt;&gt;"",L22&lt;&gt;""),(L22-K22)*1440,"")</x:f>
      </x:c>
      <x:c r="N22" s="45" t="n"/>
      <x:c r="O22" s="45" t="n"/>
      <x:c r="P22" s="26">
        <x:f>IF(AND(N22&lt;&gt;"",O22&lt;&gt;""),(O22-N22)*1440,"")</x:f>
      </x:c>
      <x:c r="Q22" s="27" t="inlineStr">
        <x:is>
          <x:t xml:space="preserve">Not Started</x:t>
        </x:is>
      </x:c>
      <x:c r="R22" s="28">
        <x:f>IF(O22&lt;&gt;"",INT(O22)+2,"")</x:f>
      </x:c>
      <x:c r="S22" s="27" t="inlineStr">
        <x:is>
          <x:t xml:space="preserve">No</x:t>
        </x:is>
      </x:c>
      <x:c r="T22" s="27" t="n"/>
      <x:c r="U22" s="29" t="n"/>
      <x:c r="V22" s="29" t="n"/>
    </x:row>
    <x:row r="23" ht="24" customHeight="1">
      <x:c r="A23" s="21" t="inlineStr">
        <x:is>
          <x:t xml:space="preserve">E02</x:t>
        </x:is>
      </x:c>
      <x:c r="B23" s="21" t="n">
        <x:v>19</x:v>
      </x:c>
      <x:c r="C23" s="21" t="inlineStr">
        <x:is>
          <x:t xml:space="preserve">Exercise</x:t>
        </x:is>
      </x:c>
      <x:c r="D23" s="21" t="inlineStr">
        <x:is>
          <x:t xml:space="preserve">Ex 2</x:t>
        </x:is>
      </x:c>
      <x:c r="E23" s="22" t="inlineStr">
        <x:is>
          <x:t xml:space="preserve">Exercise 2 — Means and second moments</x:t>
        </x:is>
      </x:c>
      <x:c r="F23" s="22" t="inlineStr">
        <x:is>
          <x:t xml:space="preserve">Connect convergence notions with averaging and L2</x:t>
        </x:is>
      </x:c>
      <x:c r="G23" s="23" t="n">
        <x:v>19</x:v>
      </x:c>
      <x:c r="H23" s="24">
        <x:f>IF(Protocol!$B$3="","",Protocol!$B$3+G23-1)</x:f>
      </x:c>
      <x:c r="I23" s="23" t="n"/>
      <x:c r="J23" s="23" t="n">
        <x:v>60</x:v>
      </x:c>
      <x:c r="K23" s="45" t="n"/>
      <x:c r="L23" s="45" t="n"/>
      <x:c r="M23" s="26">
        <x:f>IF(AND(K23&lt;&gt;"",L23&lt;&gt;""),(L23-K23)*1440,"")</x:f>
      </x:c>
      <x:c r="N23" s="45" t="n"/>
      <x:c r="O23" s="45" t="n"/>
      <x:c r="P23" s="26">
        <x:f>IF(AND(N23&lt;&gt;"",O23&lt;&gt;""),(O23-N23)*1440,"")</x:f>
      </x:c>
      <x:c r="Q23" s="30" t="inlineStr">
        <x:is>
          <x:t xml:space="preserve">Not Started</x:t>
        </x:is>
      </x:c>
      <x:c r="R23" s="28">
        <x:f>IF(O23&lt;&gt;"",INT(O23)+2,"")</x:f>
      </x:c>
      <x:c r="S23" s="27" t="inlineStr">
        <x:is>
          <x:t xml:space="preserve">No</x:t>
        </x:is>
      </x:c>
      <x:c r="T23" s="30" t="n"/>
      <x:c r="U23" s="29" t="n"/>
      <x:c r="V23" s="29" t="n"/>
    </x:row>
    <x:row r="24" ht="24" customHeight="1">
      <x:c r="A24" s="21" t="inlineStr">
        <x:is>
          <x:t xml:space="preserve">E04</x:t>
        </x:is>
      </x:c>
      <x:c r="B24" s="21" t="n">
        <x:v>20</x:v>
      </x:c>
      <x:c r="C24" s="21" t="inlineStr">
        <x:is>
          <x:t xml:space="preserve">Exercise</x:t>
        </x:is>
      </x:c>
      <x:c r="D24" s="21" t="inlineStr">
        <x:is>
          <x:t xml:space="preserve">Ex 4</x:t>
        </x:is>
      </x:c>
      <x:c r="E24" s="22" t="inlineStr">
        <x:is>
          <x:t xml:space="preserve">Exercise 4 — Means and second moments</x:t>
        </x:is>
      </x:c>
      <x:c r="F24" s="22" t="inlineStr">
        <x:is>
          <x:t xml:space="preserve">Connect convergence notions with averaging and L2</x:t>
        </x:is>
      </x:c>
      <x:c r="G24" s="23" t="n">
        <x:v>20</x:v>
      </x:c>
      <x:c r="H24" s="24">
        <x:f>IF(Protocol!$B$3="","",Protocol!$B$3+G24-1)</x:f>
      </x:c>
      <x:c r="I24" s="23" t="n"/>
      <x:c r="J24" s="23" t="n">
        <x:v>60</x:v>
      </x:c>
      <x:c r="K24" s="45" t="n"/>
      <x:c r="L24" s="45" t="n"/>
      <x:c r="M24" s="26">
        <x:f>IF(AND(K24&lt;&gt;"",L24&lt;&gt;""),(L24-K24)*1440,"")</x:f>
      </x:c>
      <x:c r="N24" s="45" t="n"/>
      <x:c r="O24" s="45" t="n"/>
      <x:c r="P24" s="26">
        <x:f>IF(AND(N24&lt;&gt;"",O24&lt;&gt;""),(O24-N24)*1440,"")</x:f>
      </x:c>
      <x:c r="Q24" s="30" t="inlineStr">
        <x:is>
          <x:t xml:space="preserve">Not Started</x:t>
        </x:is>
      </x:c>
      <x:c r="R24" s="28">
        <x:f>IF(O24&lt;&gt;"",INT(O24)+2,"")</x:f>
      </x:c>
      <x:c r="S24" s="27" t="inlineStr">
        <x:is>
          <x:t xml:space="preserve">No</x:t>
        </x:is>
      </x:c>
      <x:c r="T24" s="30" t="n"/>
      <x:c r="U24" s="29" t="n"/>
      <x:c r="V24" s="29" t="n"/>
    </x:row>
    <x:row r="25" ht="24" customHeight="1">
      <x:c r="A25" s="21" t="inlineStr">
        <x:is>
          <x:t xml:space="preserve">E05</x:t>
        </x:is>
      </x:c>
      <x:c r="B25" s="21" t="n">
        <x:v>21</x:v>
      </x:c>
      <x:c r="C25" s="21" t="inlineStr">
        <x:is>
          <x:t xml:space="preserve">Exercise</x:t>
        </x:is>
      </x:c>
      <x:c r="D25" s="21" t="inlineStr">
        <x:is>
          <x:t xml:space="preserve">Ex 5</x:t>
        </x:is>
      </x:c>
      <x:c r="E25" s="22" t="inlineStr">
        <x:is>
          <x:t xml:space="preserve">Exercise 5 — UI basics</x:t>
        </x:is>
      </x:c>
      <x:c r="F25" s="22" t="inlineStr">
        <x:is>
          <x:t xml:space="preserve">Basic UI practice: is a family uniformly integrable?</x:t>
        </x:is>
      </x:c>
      <x:c r="G25" s="23" t="n">
        <x:v>21</x:v>
      </x:c>
      <x:c r="H25" s="24">
        <x:f>IF(Protocol!$B$3="","",Protocol!$B$3+G25-1)</x:f>
      </x:c>
      <x:c r="I25" s="23" t="n"/>
      <x:c r="J25" s="23" t="n">
        <x:v>60</x:v>
      </x:c>
      <x:c r="K25" s="45" t="n"/>
      <x:c r="L25" s="45" t="n"/>
      <x:c r="M25" s="26">
        <x:f>IF(AND(K25&lt;&gt;"",L25&lt;&gt;""),(L25-K25)*1440,"")</x:f>
      </x:c>
      <x:c r="N25" s="45" t="n"/>
      <x:c r="O25" s="45" t="n"/>
      <x:c r="P25" s="26">
        <x:f>IF(AND(N25&lt;&gt;"",O25&lt;&gt;""),(O25-N25)*1440,"")</x:f>
      </x:c>
      <x:c r="Q25" s="30" t="inlineStr">
        <x:is>
          <x:t xml:space="preserve">Not Started</x:t>
        </x:is>
      </x:c>
      <x:c r="R25" s="28">
        <x:f>IF(O25&lt;&gt;"",INT(O25)+2,"")</x:f>
      </x:c>
      <x:c r="S25" s="27" t="inlineStr">
        <x:is>
          <x:t xml:space="preserve">No</x:t>
        </x:is>
      </x:c>
      <x:c r="T25" s="30" t="n"/>
      <x:c r="U25" s="29" t="n"/>
      <x:c r="V25" s="29" t="n"/>
    </x:row>
    <x:row r="26" ht="24" customHeight="1">
      <x:c r="A26" s="21" t="inlineStr">
        <x:is>
          <x:t xml:space="preserve">E06</x:t>
        </x:is>
      </x:c>
      <x:c r="B26" s="21" t="n">
        <x:v>22</x:v>
      </x:c>
      <x:c r="C26" s="21" t="inlineStr">
        <x:is>
          <x:t xml:space="preserve">Exercise</x:t>
        </x:is>
      </x:c>
      <x:c r="D26" s="21" t="inlineStr">
        <x:is>
          <x:t xml:space="preserve">Ex 6</x:t>
        </x:is>
      </x:c>
      <x:c r="E26" s="22" t="inlineStr">
        <x:is>
          <x:t xml:space="preserve">Exercise 6 — UI basics</x:t>
        </x:is>
      </x:c>
      <x:c r="F26" s="22" t="inlineStr">
        <x:is>
          <x:t xml:space="preserve">Basic UI practice: is a family uniformly integrable?</x:t>
        </x:is>
      </x:c>
      <x:c r="G26" s="23" t="n">
        <x:v>22</x:v>
      </x:c>
      <x:c r="H26" s="24">
        <x:f>IF(Protocol!$B$3="","",Protocol!$B$3+G26-1)</x:f>
      </x:c>
      <x:c r="I26" s="23" t="n"/>
      <x:c r="J26" s="23" t="n">
        <x:v>60</x:v>
      </x:c>
      <x:c r="K26" s="45" t="n"/>
      <x:c r="L26" s="45" t="n"/>
      <x:c r="M26" s="26">
        <x:f>IF(AND(K26&lt;&gt;"",L26&lt;&gt;""),(L26-K26)*1440,"")</x:f>
      </x:c>
      <x:c r="N26" s="45" t="n"/>
      <x:c r="O26" s="45" t="n"/>
      <x:c r="P26" s="26">
        <x:f>IF(AND(N26&lt;&gt;"",O26&lt;&gt;""),(O26-N26)*1440,"")</x:f>
      </x:c>
      <x:c r="Q26" s="30" t="inlineStr">
        <x:is>
          <x:t xml:space="preserve">Not Started</x:t>
        </x:is>
      </x:c>
      <x:c r="R26" s="28">
        <x:f>IF(O26&lt;&gt;"",INT(O26)+2,"")</x:f>
      </x:c>
      <x:c r="S26" s="27" t="inlineStr">
        <x:is>
          <x:t xml:space="preserve">No</x:t>
        </x:is>
      </x:c>
      <x:c r="T26" s="30" t="n"/>
      <x:c r="U26" s="29" t="n"/>
      <x:c r="V26" s="29" t="n"/>
    </x:row>
    <x:row r="27" ht="24" customHeight="1">
      <x:c r="A27" s="21" t="inlineStr">
        <x:is>
          <x:t xml:space="preserve">E08</x:t>
        </x:is>
      </x:c>
      <x:c r="B27" s="21" t="n">
        <x:v>23</x:v>
      </x:c>
      <x:c r="C27" s="21" t="inlineStr">
        <x:is>
          <x:t xml:space="preserve">Exercise</x:t>
        </x:is>
      </x:c>
      <x:c r="D27" s="21" t="inlineStr">
        <x:is>
          <x:t xml:space="preserve">Ex 8</x:t>
        </x:is>
      </x:c>
      <x:c r="E27" s="22" t="inlineStr">
        <x:is>
          <x:t xml:space="preserve">Exercise 8 — UI basics</x:t>
        </x:is>
      </x:c>
      <x:c r="F27" s="22" t="inlineStr">
        <x:is>
          <x:t xml:space="preserve">Basic UI practice: is a family uniformly integrable?</x:t>
        </x:is>
      </x:c>
      <x:c r="G27" s="23" t="n">
        <x:v>23</x:v>
      </x:c>
      <x:c r="H27" s="24">
        <x:f>IF(Protocol!$B$3="","",Protocol!$B$3+G27-1)</x:f>
      </x:c>
      <x:c r="I27" s="23" t="n"/>
      <x:c r="J27" s="23" t="n">
        <x:v>60</x:v>
      </x:c>
      <x:c r="K27" s="45" t="n"/>
      <x:c r="L27" s="45" t="n"/>
      <x:c r="M27" s="26">
        <x:f>IF(AND(K27&lt;&gt;"",L27&lt;&gt;""),(L27-K27)*1440,"")</x:f>
      </x:c>
      <x:c r="N27" s="45" t="n"/>
      <x:c r="O27" s="45" t="n"/>
      <x:c r="P27" s="26">
        <x:f>IF(AND(N27&lt;&gt;"",O27&lt;&gt;""),(O27-N27)*1440,"")</x:f>
      </x:c>
      <x:c r="Q27" s="30" t="inlineStr">
        <x:is>
          <x:t xml:space="preserve">Not Started</x:t>
        </x:is>
      </x:c>
      <x:c r="R27" s="28">
        <x:f>IF(O27&lt;&gt;"",INT(O27)+2,"")</x:f>
      </x:c>
      <x:c r="S27" s="27" t="inlineStr">
        <x:is>
          <x:t xml:space="preserve">No</x:t>
        </x:is>
      </x:c>
      <x:c r="T27" s="30" t="n"/>
      <x:c r="U27" s="29" t="n"/>
      <x:c r="V27" s="29" t="n"/>
    </x:row>
    <x:row r="28" ht="24" customHeight="1">
      <x:c r="A28" s="21" t="inlineStr">
        <x:is>
          <x:t xml:space="preserve">E03</x:t>
        </x:is>
      </x:c>
      <x:c r="B28" s="21" t="n">
        <x:v>24</x:v>
      </x:c>
      <x:c r="C28" s="21" t="inlineStr">
        <x:is>
          <x:t xml:space="preserve">Exercise</x:t>
        </x:is>
      </x:c>
      <x:c r="D28" s="21" t="inlineStr">
        <x:is>
          <x:t xml:space="preserve">Ex 3</x:t>
        </x:is>
      </x:c>
      <x:c r="E28" s="22" t="inlineStr">
        <x:is>
          <x:t xml:space="preserve">Exercise 3 — Inequalities + UI tests</x:t>
        </x:is>
      </x:c>
      <x:c r="F28" s="22" t="inlineStr">
        <x:is>
          <x:t xml:space="preserve">Practice the estimation tools until fluent</x:t>
        </x:is>
      </x:c>
      <x:c r="G28" s="23" t="n">
        <x:v>24</x:v>
      </x:c>
      <x:c r="H28" s="24">
        <x:f>IF(Protocol!$B$3="","",Protocol!$B$3+G28-1)</x:f>
      </x:c>
      <x:c r="I28" s="23" t="n"/>
      <x:c r="J28" s="23" t="n">
        <x:v>70</x:v>
      </x:c>
      <x:c r="K28" s="45" t="n"/>
      <x:c r="L28" s="45" t="n"/>
      <x:c r="M28" s="26">
        <x:f>IF(AND(K28&lt;&gt;"",L28&lt;&gt;""),(L28-K28)*1440,"")</x:f>
      </x:c>
      <x:c r="N28" s="45" t="n"/>
      <x:c r="O28" s="45" t="n"/>
      <x:c r="P28" s="26">
        <x:f>IF(AND(N28&lt;&gt;"",O28&lt;&gt;""),(O28-N28)*1440,"")</x:f>
      </x:c>
      <x:c r="Q28" s="30" t="inlineStr">
        <x:is>
          <x:t xml:space="preserve">Not Started</x:t>
        </x:is>
      </x:c>
      <x:c r="R28" s="28">
        <x:f>IF(O28&lt;&gt;"",INT(O28)+2,"")</x:f>
      </x:c>
      <x:c r="S28" s="27" t="inlineStr">
        <x:is>
          <x:t xml:space="preserve">No</x:t>
        </x:is>
      </x:c>
      <x:c r="T28" s="30" t="n"/>
      <x:c r="U28" s="29" t="n"/>
      <x:c r="V28" s="29" t="n"/>
    </x:row>
    <x:row r="29" ht="24" customHeight="1">
      <x:c r="A29" s="21" t="inlineStr">
        <x:is>
          <x:t xml:space="preserve">E09</x:t>
        </x:is>
      </x:c>
      <x:c r="B29" s="21" t="n">
        <x:v>25</x:v>
      </x:c>
      <x:c r="C29" s="21" t="inlineStr">
        <x:is>
          <x:t xml:space="preserve">Exercise</x:t>
        </x:is>
      </x:c>
      <x:c r="D29" s="21" t="inlineStr">
        <x:is>
          <x:t xml:space="preserve">Ex 9</x:t>
        </x:is>
      </x:c>
      <x:c r="E29" s="22" t="inlineStr">
        <x:is>
          <x:t xml:space="preserve">Exercise 9 — Inequalities + UI tests</x:t>
        </x:is>
      </x:c>
      <x:c r="F29" s="22" t="inlineStr">
        <x:is>
          <x:t xml:space="preserve">Practice the estimation tools until fluent</x:t>
        </x:is>
      </x:c>
      <x:c r="G29" s="23" t="n">
        <x:v>25</x:v>
      </x:c>
      <x:c r="H29" s="24">
        <x:f>IF(Protocol!$B$3="","",Protocol!$B$3+G29-1)</x:f>
      </x:c>
      <x:c r="I29" s="23" t="n"/>
      <x:c r="J29" s="23" t="n">
        <x:v>70</x:v>
      </x:c>
      <x:c r="K29" s="45" t="n"/>
      <x:c r="L29" s="45" t="n"/>
      <x:c r="M29" s="26">
        <x:f>IF(AND(K29&lt;&gt;"",L29&lt;&gt;""),(L29-K29)*1440,"")</x:f>
      </x:c>
      <x:c r="N29" s="45" t="n"/>
      <x:c r="O29" s="45" t="n"/>
      <x:c r="P29" s="26">
        <x:f>IF(AND(N29&lt;&gt;"",O29&lt;&gt;""),(O29-N29)*1440,"")</x:f>
      </x:c>
      <x:c r="Q29" s="30" t="inlineStr">
        <x:is>
          <x:t xml:space="preserve">Not Started</x:t>
        </x:is>
      </x:c>
      <x:c r="R29" s="28">
        <x:f>IF(O29&lt;&gt;"",INT(O29)+2,"")</x:f>
      </x:c>
      <x:c r="S29" s="27" t="inlineStr">
        <x:is>
          <x:t xml:space="preserve">No</x:t>
        </x:is>
      </x:c>
      <x:c r="T29" s="30" t="n"/>
      <x:c r="U29" s="29" t="n"/>
      <x:c r="V29" s="29" t="n"/>
    </x:row>
    <x:row r="30" ht="24" customHeight="1">
      <x:c r="A30" s="21" t="inlineStr">
        <x:is>
          <x:t xml:space="preserve">E10</x:t>
        </x:is>
      </x:c>
      <x:c r="B30" s="21" t="n">
        <x:v>26</x:v>
      </x:c>
      <x:c r="C30" s="21" t="inlineStr">
        <x:is>
          <x:t xml:space="preserve">Exercise</x:t>
        </x:is>
      </x:c>
      <x:c r="D30" s="21" t="inlineStr">
        <x:is>
          <x:t xml:space="preserve">Ex 10</x:t>
        </x:is>
      </x:c>
      <x:c r="E30" s="22" t="inlineStr">
        <x:is>
          <x:t xml:space="preserve">Exercise 10 — Inequalities + UI tests</x:t>
        </x:is>
      </x:c>
      <x:c r="F30" s="22" t="inlineStr">
        <x:is>
          <x:t xml:space="preserve">Practice the estimation tools until fluent</x:t>
        </x:is>
      </x:c>
      <x:c r="G30" s="23" t="n">
        <x:v>26</x:v>
      </x:c>
      <x:c r="H30" s="24">
        <x:f>IF(Protocol!$B$3="","",Protocol!$B$3+G30-1)</x:f>
      </x:c>
      <x:c r="I30" s="23" t="n"/>
      <x:c r="J30" s="23" t="n">
        <x:v>70</x:v>
      </x:c>
      <x:c r="K30" s="45" t="n"/>
      <x:c r="L30" s="45" t="n"/>
      <x:c r="M30" s="26">
        <x:f>IF(AND(K30&lt;&gt;"",L30&lt;&gt;""),(L30-K30)*1440,"")</x:f>
      </x:c>
      <x:c r="N30" s="45" t="n"/>
      <x:c r="O30" s="45" t="n"/>
      <x:c r="P30" s="26">
        <x:f>IF(AND(N30&lt;&gt;"",O30&lt;&gt;""),(O30-N30)*1440,"")</x:f>
      </x:c>
      <x:c r="Q30" s="30" t="inlineStr">
        <x:is>
          <x:t xml:space="preserve">Not Started</x:t>
        </x:is>
      </x:c>
      <x:c r="R30" s="28">
        <x:f>IF(O30&lt;&gt;"",INT(O30)+2,"")</x:f>
      </x:c>
      <x:c r="S30" s="27" t="inlineStr">
        <x:is>
          <x:t xml:space="preserve">No</x:t>
        </x:is>
      </x:c>
      <x:c r="T30" s="30" t="n"/>
      <x:c r="U30" s="29" t="n"/>
      <x:c r="V30" s="29" t="n"/>
    </x:row>
    <x:row r="31" ht="24" customHeight="1">
      <x:c r="A31" s="21" t="inlineStr">
        <x:is>
          <x:t xml:space="preserve">E15</x:t>
        </x:is>
      </x:c>
      <x:c r="B31" s="21" t="n">
        <x:v>27</x:v>
      </x:c>
      <x:c r="C31" s="21" t="inlineStr">
        <x:is>
          <x:t xml:space="preserve">Exercise</x:t>
        </x:is>
      </x:c>
      <x:c r="D31" s="21" t="inlineStr">
        <x:is>
          <x:t xml:space="preserve">Ex 15</x:t>
        </x:is>
      </x:c>
      <x:c r="E31" s="22" t="inlineStr">
        <x:is>
          <x:t xml:space="preserve">Exercise 15 — L_p basics</x:t>
        </x:is>
      </x:c>
      <x:c r="F31" s="22" t="inlineStr">
        <x:is>
          <x:t xml:space="preserve">See clearly what Lp, averaging, and scaling do and do not imply</x:t>
        </x:is>
      </x:c>
      <x:c r="G31" s="23" t="n">
        <x:v>27</x:v>
      </x:c>
      <x:c r="H31" s="24">
        <x:f>IF(Protocol!$B$3="","",Protocol!$B$3+G31-1)</x:f>
      </x:c>
      <x:c r="I31" s="23" t="n"/>
      <x:c r="J31" s="23" t="n">
        <x:v>70</x:v>
      </x:c>
      <x:c r="K31" s="45" t="n"/>
      <x:c r="L31" s="45" t="n"/>
      <x:c r="M31" s="26">
        <x:f>IF(AND(K31&lt;&gt;"",L31&lt;&gt;""),(L31-K31)*1440,"")</x:f>
      </x:c>
      <x:c r="N31" s="45" t="n"/>
      <x:c r="O31" s="45" t="n"/>
      <x:c r="P31" s="26">
        <x:f>IF(AND(N31&lt;&gt;"",O31&lt;&gt;""),(O31-N31)*1440,"")</x:f>
      </x:c>
      <x:c r="Q31" s="30" t="inlineStr">
        <x:is>
          <x:t xml:space="preserve">Not Started</x:t>
        </x:is>
      </x:c>
      <x:c r="R31" s="28">
        <x:f>IF(O31&lt;&gt;"",INT(O31)+2,"")</x:f>
      </x:c>
      <x:c r="S31" s="27" t="inlineStr">
        <x:is>
          <x:t xml:space="preserve">No</x:t>
        </x:is>
      </x:c>
      <x:c r="T31" s="30" t="n"/>
      <x:c r="U31" s="29" t="n"/>
      <x:c r="V31" s="29" t="n"/>
    </x:row>
    <x:row r="32" ht="24" customHeight="1">
      <x:c r="A32" s="21" t="inlineStr">
        <x:is>
          <x:t xml:space="preserve">E16</x:t>
        </x:is>
      </x:c>
      <x:c r="B32" s="21" t="n">
        <x:v>28</x:v>
      </x:c>
      <x:c r="C32" s="21" t="inlineStr">
        <x:is>
          <x:t xml:space="preserve">Exercise</x:t>
        </x:is>
      </x:c>
      <x:c r="D32" s="21" t="inlineStr">
        <x:is>
          <x:t xml:space="preserve">Ex 16</x:t>
        </x:is>
      </x:c>
      <x:c r="E32" s="22" t="inlineStr">
        <x:is>
          <x:t xml:space="preserve">Exercise 16 — L_p basics</x:t>
        </x:is>
      </x:c>
      <x:c r="F32" s="22" t="inlineStr">
        <x:is>
          <x:t xml:space="preserve">See clearly what Lp, averaging, and scaling do and do not imply</x:t>
        </x:is>
      </x:c>
      <x:c r="G32" s="23" t="n">
        <x:v>28</x:v>
      </x:c>
      <x:c r="H32" s="24">
        <x:f>IF(Protocol!$B$3="","",Protocol!$B$3+G32-1)</x:f>
      </x:c>
      <x:c r="I32" s="23" t="n"/>
      <x:c r="J32" s="23" t="n">
        <x:v>70</x:v>
      </x:c>
      <x:c r="K32" s="45" t="n"/>
      <x:c r="L32" s="45" t="n"/>
      <x:c r="M32" s="26">
        <x:f>IF(AND(K32&lt;&gt;"",L32&lt;&gt;""),(L32-K32)*1440,"")</x:f>
      </x:c>
      <x:c r="N32" s="45" t="n"/>
      <x:c r="O32" s="45" t="n"/>
      <x:c r="P32" s="26">
        <x:f>IF(AND(N32&lt;&gt;"",O32&lt;&gt;""),(O32-N32)*1440,"")</x:f>
      </x:c>
      <x:c r="Q32" s="30" t="inlineStr">
        <x:is>
          <x:t xml:space="preserve">Not Started</x:t>
        </x:is>
      </x:c>
      <x:c r="R32" s="28">
        <x:f>IF(O32&lt;&gt;"",INT(O32)+2,"")</x:f>
      </x:c>
      <x:c r="S32" s="27" t="inlineStr">
        <x:is>
          <x:t xml:space="preserve">No</x:t>
        </x:is>
      </x:c>
      <x:c r="T32" s="30" t="n"/>
      <x:c r="U32" s="29" t="n"/>
      <x:c r="V32" s="29" t="n"/>
    </x:row>
    <x:row r="33" ht="24" customHeight="1">
      <x:c r="A33" s="21" t="inlineStr">
        <x:is>
          <x:t xml:space="preserve">E18</x:t>
        </x:is>
      </x:c>
      <x:c r="B33" s="21" t="n">
        <x:v>29</x:v>
      </x:c>
      <x:c r="C33" s="21" t="inlineStr">
        <x:is>
          <x:t xml:space="preserve">Exercise</x:t>
        </x:is>
      </x:c>
      <x:c r="D33" s="21" t="inlineStr">
        <x:is>
          <x:t xml:space="preserve">Ex 18</x:t>
        </x:is>
      </x:c>
      <x:c r="E33" s="22" t="inlineStr">
        <x:is>
          <x:t xml:space="preserve">Exercise 18 — L_p basics</x:t>
        </x:is>
      </x:c>
      <x:c r="F33" s="22" t="inlineStr">
        <x:is>
          <x:t xml:space="preserve">See clearly what Lp, averaging, and scaling do and do not imply</x:t>
        </x:is>
      </x:c>
      <x:c r="G33" s="23" t="n">
        <x:v>29</x:v>
      </x:c>
      <x:c r="H33" s="24">
        <x:f>IF(Protocol!$B$3="","",Protocol!$B$3+G33-1)</x:f>
      </x:c>
      <x:c r="I33" s="23" t="n"/>
      <x:c r="J33" s="23" t="n">
        <x:v>70</x:v>
      </x:c>
      <x:c r="K33" s="45" t="n"/>
      <x:c r="L33" s="45" t="n"/>
      <x:c r="M33" s="26">
        <x:f>IF(AND(K33&lt;&gt;"",L33&lt;&gt;""),(L33-K33)*1440,"")</x:f>
      </x:c>
      <x:c r="N33" s="45" t="n"/>
      <x:c r="O33" s="45" t="n"/>
      <x:c r="P33" s="26">
        <x:f>IF(AND(N33&lt;&gt;"",O33&lt;&gt;""),(O33-N33)*1440,"")</x:f>
      </x:c>
      <x:c r="Q33" s="30" t="inlineStr">
        <x:is>
          <x:t xml:space="preserve">Not Started</x:t>
        </x:is>
      </x:c>
      <x:c r="R33" s="28">
        <x:f>IF(O33&lt;&gt;"",INT(O33)+2,"")</x:f>
      </x:c>
      <x:c r="S33" s="27" t="inlineStr">
        <x:is>
          <x:t xml:space="preserve">No</x:t>
        </x:is>
      </x:c>
      <x:c r="T33" s="30" t="n"/>
      <x:c r="U33" s="29" t="n"/>
      <x:c r="V33" s="29" t="n"/>
    </x:row>
    <x:row r="34" ht="24" customHeight="1">
      <x:c r="A34" s="21" t="inlineStr">
        <x:is>
          <x:t xml:space="preserve">E20</x:t>
        </x:is>
      </x:c>
      <x:c r="B34" s="21" t="n">
        <x:v>30</x:v>
      </x:c>
      <x:c r="C34" s="21" t="inlineStr">
        <x:is>
          <x:t xml:space="preserve">Exercise</x:t>
        </x:is>
      </x:c>
      <x:c r="D34" s="21" t="inlineStr">
        <x:is>
          <x:t xml:space="preserve">Ex 20</x:t>
        </x:is>
      </x:c>
      <x:c r="E34" s="22" t="inlineStr">
        <x:is>
          <x:t xml:space="preserve">Exercise 20 — Moment / tail / probability</x:t>
        </x:is>
      </x:c>
      <x:c r="F34" s="22" t="inlineStr">
        <x:is>
          <x:t xml:space="preserve">Connect moment control with probability control</x:t>
        </x:is>
      </x:c>
      <x:c r="G34" s="23" t="n">
        <x:v>30</x:v>
      </x:c>
      <x:c r="H34" s="24">
        <x:f>IF(Protocol!$B$3="","",Protocol!$B$3+G34-1)</x:f>
      </x:c>
      <x:c r="I34" s="23" t="n"/>
      <x:c r="J34" s="23" t="n">
        <x:v>70</x:v>
      </x:c>
      <x:c r="K34" s="45" t="n"/>
      <x:c r="L34" s="45" t="n"/>
      <x:c r="M34" s="26">
        <x:f>IF(AND(K34&lt;&gt;"",L34&lt;&gt;""),(L34-K34)*1440,"")</x:f>
      </x:c>
      <x:c r="N34" s="45" t="n"/>
      <x:c r="O34" s="45" t="n"/>
      <x:c r="P34" s="26">
        <x:f>IF(AND(N34&lt;&gt;"",O34&lt;&gt;""),(O34-N34)*1440,"")</x:f>
      </x:c>
      <x:c r="Q34" s="30" t="inlineStr">
        <x:is>
          <x:t xml:space="preserve">Not Started</x:t>
        </x:is>
      </x:c>
      <x:c r="R34" s="28">
        <x:f>IF(O34&lt;&gt;"",INT(O34)+2,"")</x:f>
      </x:c>
      <x:c r="S34" s="27" t="inlineStr">
        <x:is>
          <x:t xml:space="preserve">No</x:t>
        </x:is>
      </x:c>
      <x:c r="T34" s="30" t="n"/>
      <x:c r="U34" s="29" t="n"/>
      <x:c r="V34" s="29" t="n"/>
    </x:row>
    <x:row r="35" ht="24" customHeight="1">
      <x:c r="A35" s="21" t="inlineStr">
        <x:is>
          <x:t xml:space="preserve">E22</x:t>
        </x:is>
      </x:c>
      <x:c r="B35" s="21" t="n">
        <x:v>31</x:v>
      </x:c>
      <x:c r="C35" s="21" t="inlineStr">
        <x:is>
          <x:t xml:space="preserve">Exercise</x:t>
        </x:is>
      </x:c>
      <x:c r="D35" s="21" t="inlineStr">
        <x:is>
          <x:t xml:space="preserve">Ex 22</x:t>
        </x:is>
      </x:c>
      <x:c r="E35" s="22" t="inlineStr">
        <x:is>
          <x:t xml:space="preserve">Exercise 22 — Moment / tail / probability</x:t>
        </x:is>
      </x:c>
      <x:c r="F35" s="22" t="inlineStr">
        <x:is>
          <x:t xml:space="preserve">Connect moment control with probability control</x:t>
        </x:is>
      </x:c>
      <x:c r="G35" s="23" t="n">
        <x:v>31</x:v>
      </x:c>
      <x:c r="H35" s="24">
        <x:f>IF(Protocol!$B$3="","",Protocol!$B$3+G35-1)</x:f>
      </x:c>
      <x:c r="I35" s="23" t="n"/>
      <x:c r="J35" s="23" t="n">
        <x:v>70</x:v>
      </x:c>
      <x:c r="K35" s="45" t="n"/>
      <x:c r="L35" s="45" t="n"/>
      <x:c r="M35" s="26">
        <x:f>IF(AND(K35&lt;&gt;"",L35&lt;&gt;""),(L35-K35)*1440,"")</x:f>
      </x:c>
      <x:c r="N35" s="45" t="n"/>
      <x:c r="O35" s="45" t="n"/>
      <x:c r="P35" s="26">
        <x:f>IF(AND(N35&lt;&gt;"",O35&lt;&gt;""),(O35-N35)*1440,"")</x:f>
      </x:c>
      <x:c r="Q35" s="30" t="inlineStr">
        <x:is>
          <x:t xml:space="preserve">Not Started</x:t>
        </x:is>
      </x:c>
      <x:c r="R35" s="28">
        <x:f>IF(O35&lt;&gt;"",INT(O35)+2,"")</x:f>
      </x:c>
      <x:c r="S35" s="27" t="inlineStr">
        <x:is>
          <x:t xml:space="preserve">No</x:t>
        </x:is>
      </x:c>
      <x:c r="T35" s="30" t="n"/>
      <x:c r="U35" s="29" t="n"/>
      <x:c r="V35" s="29" t="n"/>
    </x:row>
    <x:row r="36" ht="24" customHeight="1">
      <x:c r="A36" s="21" t="inlineStr">
        <x:is>
          <x:t xml:space="preserve">E30</x:t>
        </x:is>
      </x:c>
      <x:c r="B36" s="21" t="n">
        <x:v>32</x:v>
      </x:c>
      <x:c r="C36" s="21" t="inlineStr">
        <x:is>
          <x:t xml:space="preserve">Exercise</x:t>
        </x:is>
      </x:c>
      <x:c r="D36" s="21" t="inlineStr">
        <x:is>
          <x:t xml:space="preserve">Ex 30</x:t>
        </x:is>
      </x:c>
      <x:c r="E36" s="22" t="inlineStr">
        <x:is>
          <x:t xml:space="preserve">Exercise 30 — Moment / tail / probability</x:t>
        </x:is>
      </x:c>
      <x:c r="F36" s="22" t="inlineStr">
        <x:is>
          <x:t xml:space="preserve">Connect moment control with probability control</x:t>
        </x:is>
      </x:c>
      <x:c r="G36" s="23" t="n">
        <x:v>32</x:v>
      </x:c>
      <x:c r="H36" s="24">
        <x:f>IF(Protocol!$B$3="","",Protocol!$B$3+G36-1)</x:f>
      </x:c>
      <x:c r="I36" s="23" t="n"/>
      <x:c r="J36" s="23" t="n">
        <x:v>70</x:v>
      </x:c>
      <x:c r="K36" s="45" t="n"/>
      <x:c r="L36" s="45" t="n"/>
      <x:c r="M36" s="26">
        <x:f>IF(AND(K36&lt;&gt;"",L36&lt;&gt;""),(L36-K36)*1440,"")</x:f>
      </x:c>
      <x:c r="N36" s="45" t="n"/>
      <x:c r="O36" s="45" t="n"/>
      <x:c r="P36" s="26">
        <x:f>IF(AND(N36&lt;&gt;"",O36&lt;&gt;""),(O36-N36)*1440,"")</x:f>
      </x:c>
      <x:c r="Q36" s="30" t="inlineStr">
        <x:is>
          <x:t xml:space="preserve">Not Started</x:t>
        </x:is>
      </x:c>
      <x:c r="R36" s="28">
        <x:f>IF(O36&lt;&gt;"",INT(O36)+2,"")</x:f>
      </x:c>
      <x:c r="S36" s="27" t="inlineStr">
        <x:is>
          <x:t xml:space="preserve">No</x:t>
        </x:is>
      </x:c>
      <x:c r="T36" s="30" t="n"/>
      <x:c r="U36" s="29" t="n"/>
      <x:c r="V36" s="29" t="n"/>
    </x:row>
    <x:row r="37" ht="24" customHeight="1">
      <x:c r="A37" s="21" t="inlineStr">
        <x:is>
          <x:t xml:space="preserve">E11</x:t>
        </x:is>
      </x:c>
      <x:c r="B37" s="21" t="n">
        <x:v>33</x:v>
      </x:c>
      <x:c r="C37" s="21" t="inlineStr">
        <x:is>
          <x:t xml:space="preserve">Exercise</x:t>
        </x:is>
      </x:c>
      <x:c r="D37" s="21" t="inlineStr">
        <x:is>
          <x:t xml:space="preserve">Ex 11</x:t>
        </x:is>
      </x:c>
      <x:c r="E37" s="22" t="inlineStr">
        <x:is>
          <x:t xml:space="preserve">Exercise 11 — Maxima / extremes style</x:t>
        </x:is>
      </x:c>
      <x:c r="F37" s="22" t="inlineStr">
        <x:is>
          <x:t xml:space="preserve">Tail behavior and extreme-value style probability estimates</x:t>
        </x:is>
      </x:c>
      <x:c r="G37" s="23" t="n">
        <x:v>33</x:v>
      </x:c>
      <x:c r="H37" s="24">
        <x:f>IF(Protocol!$B$3="","",Protocol!$B$3+G37-1)</x:f>
      </x:c>
      <x:c r="I37" s="23" t="n"/>
      <x:c r="J37" s="23" t="n">
        <x:v>70</x:v>
      </x:c>
      <x:c r="K37" s="45" t="n"/>
      <x:c r="L37" s="45" t="n"/>
      <x:c r="M37" s="26">
        <x:f>IF(AND(K37&lt;&gt;"",L37&lt;&gt;""),(L37-K37)*1440,"")</x:f>
      </x:c>
      <x:c r="N37" s="45" t="n"/>
      <x:c r="O37" s="45" t="n"/>
      <x:c r="P37" s="26">
        <x:f>IF(AND(N37&lt;&gt;"",O37&lt;&gt;""),(O37-N37)*1440,"")</x:f>
      </x:c>
      <x:c r="Q37" s="30" t="inlineStr">
        <x:is>
          <x:t xml:space="preserve">Not Started</x:t>
        </x:is>
      </x:c>
      <x:c r="R37" s="28">
        <x:f>IF(O37&lt;&gt;"",INT(O37)+2,"")</x:f>
      </x:c>
      <x:c r="S37" s="27" t="inlineStr">
        <x:is>
          <x:t xml:space="preserve">No</x:t>
        </x:is>
      </x:c>
      <x:c r="T37" s="30" t="n"/>
      <x:c r="U37" s="29" t="n"/>
      <x:c r="V37" s="29" t="n"/>
    </x:row>
    <x:row r="38" ht="24" customHeight="1">
      <x:c r="A38" s="21" t="inlineStr">
        <x:is>
          <x:t xml:space="preserve">E13</x:t>
        </x:is>
      </x:c>
      <x:c r="B38" s="21" t="n">
        <x:v>34</x:v>
      </x:c>
      <x:c r="C38" s="21" t="inlineStr">
        <x:is>
          <x:t xml:space="preserve">Exercise</x:t>
        </x:is>
      </x:c>
      <x:c r="D38" s="21" t="inlineStr">
        <x:is>
          <x:t xml:space="preserve">Ex 13</x:t>
        </x:is>
      </x:c>
      <x:c r="E38" s="22" t="inlineStr">
        <x:is>
          <x:t xml:space="preserve">Exercise 13 — Maxima / extremes style</x:t>
        </x:is>
      </x:c>
      <x:c r="F38" s="22" t="inlineStr">
        <x:is>
          <x:t xml:space="preserve">Tail behavior and extreme-value style probability estimates</x:t>
        </x:is>
      </x:c>
      <x:c r="G38" s="23" t="n">
        <x:v>34</x:v>
      </x:c>
      <x:c r="H38" s="24">
        <x:f>IF(Protocol!$B$3="","",Protocol!$B$3+G38-1)</x:f>
      </x:c>
      <x:c r="I38" s="23" t="n"/>
      <x:c r="J38" s="23" t="n">
        <x:v>70</x:v>
      </x:c>
      <x:c r="K38" s="45" t="n"/>
      <x:c r="L38" s="45" t="n"/>
      <x:c r="M38" s="26">
        <x:f>IF(AND(K38&lt;&gt;"",L38&lt;&gt;""),(L38-K38)*1440,"")</x:f>
      </x:c>
      <x:c r="N38" s="45" t="n"/>
      <x:c r="O38" s="45" t="n"/>
      <x:c r="P38" s="26">
        <x:f>IF(AND(N38&lt;&gt;"",O38&lt;&gt;""),(O38-N38)*1440,"")</x:f>
      </x:c>
      <x:c r="Q38" s="30" t="inlineStr">
        <x:is>
          <x:t xml:space="preserve">Not Started</x:t>
        </x:is>
      </x:c>
      <x:c r="R38" s="28">
        <x:f>IF(O38&lt;&gt;"",INT(O38)+2,"")</x:f>
      </x:c>
      <x:c r="S38" s="27" t="inlineStr">
        <x:is>
          <x:t xml:space="preserve">No</x:t>
        </x:is>
      </x:c>
      <x:c r="T38" s="30" t="n"/>
      <x:c r="U38" s="29" t="n"/>
      <x:c r="V38" s="29" t="n"/>
    </x:row>
    <x:row r="39" ht="24" customHeight="1">
      <x:c r="A39" s="21" t="inlineStr">
        <x:is>
          <x:t xml:space="preserve">E14</x:t>
        </x:is>
      </x:c>
      <x:c r="B39" s="21" t="n">
        <x:v>35</x:v>
      </x:c>
      <x:c r="C39" s="21" t="inlineStr">
        <x:is>
          <x:t xml:space="preserve">Exercise</x:t>
        </x:is>
      </x:c>
      <x:c r="D39" s="21" t="inlineStr">
        <x:is>
          <x:t xml:space="preserve">Ex 14</x:t>
        </x:is>
      </x:c>
      <x:c r="E39" s="22" t="inlineStr">
        <x:is>
          <x:t xml:space="preserve">Exercise 14 — Maxima / extremes style</x:t>
        </x:is>
      </x:c>
      <x:c r="F39" s="22" t="inlineStr">
        <x:is>
          <x:t xml:space="preserve">Tail behavior and extreme-value style probability estimates</x:t>
        </x:is>
      </x:c>
      <x:c r="G39" s="23" t="n">
        <x:v>35</x:v>
      </x:c>
      <x:c r="H39" s="24">
        <x:f>IF(Protocol!$B$3="","",Protocol!$B$3+G39-1)</x:f>
      </x:c>
      <x:c r="I39" s="23" t="n"/>
      <x:c r="J39" s="23" t="n">
        <x:v>70</x:v>
      </x:c>
      <x:c r="K39" s="45" t="n"/>
      <x:c r="L39" s="45" t="n"/>
      <x:c r="M39" s="26">
        <x:f>IF(AND(K39&lt;&gt;"",L39&lt;&gt;""),(L39-K39)*1440,"")</x:f>
      </x:c>
      <x:c r="N39" s="45" t="n"/>
      <x:c r="O39" s="45" t="n"/>
      <x:c r="P39" s="26">
        <x:f>IF(AND(N39&lt;&gt;"",O39&lt;&gt;""),(O39-N39)*1440,"")</x:f>
      </x:c>
      <x:c r="Q39" s="30" t="inlineStr">
        <x:is>
          <x:t xml:space="preserve">Not Started</x:t>
        </x:is>
      </x:c>
      <x:c r="R39" s="28">
        <x:f>IF(O39&lt;&gt;"",INT(O39)+2,"")</x:f>
      </x:c>
      <x:c r="S39" s="27" t="inlineStr">
        <x:is>
          <x:t xml:space="preserve">No</x:t>
        </x:is>
      </x:c>
      <x:c r="T39" s="30" t="n"/>
      <x:c r="U39" s="29" t="n"/>
      <x:c r="V39" s="29" t="n"/>
    </x:row>
    <x:row r="40" ht="24" customHeight="1">
      <x:c r="A40" s="21" t="inlineStr">
        <x:is>
          <x:t xml:space="preserve">E26</x:t>
        </x:is>
      </x:c>
      <x:c r="B40" s="21" t="n">
        <x:v>36</x:v>
      </x:c>
      <x:c r="C40" s="21" t="inlineStr">
        <x:is>
          <x:t xml:space="preserve">Exercise</x:t>
        </x:is>
      </x:c>
      <x:c r="D40" s="21" t="inlineStr">
        <x:is>
          <x:t xml:space="preserve">Ex 26</x:t>
        </x:is>
      </x:c>
      <x:c r="E40" s="22" t="inlineStr">
        <x:is>
          <x:t xml:space="preserve">Exercise 26 — Advanced L_p / UI examples</x:t>
        </x:is>
      </x:c>
      <x:c r="F40" s="22" t="inlineStr">
        <x:is>
          <x:t xml:space="preserve">Counterexample bank plus structure problem</x:t>
        </x:is>
      </x:c>
      <x:c r="G40" s="23" t="n">
        <x:v>36</x:v>
      </x:c>
      <x:c r="H40" s="24">
        <x:f>IF(Protocol!$B$3="","",Protocol!$B$3+G40-1)</x:f>
      </x:c>
      <x:c r="I40" s="23" t="n"/>
      <x:c r="J40" s="23" t="n">
        <x:v>80</x:v>
      </x:c>
      <x:c r="K40" s="45" t="n"/>
      <x:c r="L40" s="45" t="n"/>
      <x:c r="M40" s="26">
        <x:f>IF(AND(K40&lt;&gt;"",L40&lt;&gt;""),(L40-K40)*1440,"")</x:f>
      </x:c>
      <x:c r="N40" s="45" t="n"/>
      <x:c r="O40" s="45" t="n"/>
      <x:c r="P40" s="26">
        <x:f>IF(AND(N40&lt;&gt;"",O40&lt;&gt;""),(O40-N40)*1440,"")</x:f>
      </x:c>
      <x:c r="Q40" s="30" t="inlineStr">
        <x:is>
          <x:t xml:space="preserve">Not Started</x:t>
        </x:is>
      </x:c>
      <x:c r="R40" s="28">
        <x:f>IF(O40&lt;&gt;"",INT(O40)+2,"")</x:f>
      </x:c>
      <x:c r="S40" s="27" t="inlineStr">
        <x:is>
          <x:t xml:space="preserve">No</x:t>
        </x:is>
      </x:c>
      <x:c r="T40" s="30" t="n"/>
      <x:c r="U40" s="29" t="n"/>
      <x:c r="V40" s="29" t="n"/>
    </x:row>
    <x:row r="41" ht="24" customHeight="1">
      <x:c r="A41" s="21" t="inlineStr">
        <x:is>
          <x:t xml:space="preserve">E27</x:t>
        </x:is>
      </x:c>
      <x:c r="B41" s="21" t="n">
        <x:v>37</x:v>
      </x:c>
      <x:c r="C41" s="21" t="inlineStr">
        <x:is>
          <x:t xml:space="preserve">Exercise</x:t>
        </x:is>
      </x:c>
      <x:c r="D41" s="21" t="inlineStr">
        <x:is>
          <x:t xml:space="preserve">Ex 27</x:t>
        </x:is>
      </x:c>
      <x:c r="E41" s="22" t="inlineStr">
        <x:is>
          <x:t xml:space="preserve">Exercise 27 — Advanced L_p / UI examples</x:t>
        </x:is>
      </x:c>
      <x:c r="F41" s="22" t="inlineStr">
        <x:is>
          <x:t xml:space="preserve">Counterexample bank plus structure problem</x:t>
        </x:is>
      </x:c>
      <x:c r="G41" s="23" t="n">
        <x:v>37</x:v>
      </x:c>
      <x:c r="H41" s="24">
        <x:f>IF(Protocol!$B$3="","",Protocol!$B$3+G41-1)</x:f>
      </x:c>
      <x:c r="I41" s="23" t="n"/>
      <x:c r="J41" s="23" t="n">
        <x:v>80</x:v>
      </x:c>
      <x:c r="K41" s="45" t="n"/>
      <x:c r="L41" s="45" t="n"/>
      <x:c r="M41" s="26">
        <x:f>IF(AND(K41&lt;&gt;"",L41&lt;&gt;""),(L41-K41)*1440,"")</x:f>
      </x:c>
      <x:c r="N41" s="45" t="n"/>
      <x:c r="O41" s="45" t="n"/>
      <x:c r="P41" s="26">
        <x:f>IF(AND(N41&lt;&gt;"",O41&lt;&gt;""),(O41-N41)*1440,"")</x:f>
      </x:c>
      <x:c r="Q41" s="30" t="inlineStr">
        <x:is>
          <x:t xml:space="preserve">Not Started</x:t>
        </x:is>
      </x:c>
      <x:c r="R41" s="28">
        <x:f>IF(O41&lt;&gt;"",INT(O41)+2,"")</x:f>
      </x:c>
      <x:c r="S41" s="27" t="inlineStr">
        <x:is>
          <x:t xml:space="preserve">No</x:t>
        </x:is>
      </x:c>
      <x:c r="T41" s="30" t="n"/>
      <x:c r="U41" s="29" t="n"/>
      <x:c r="V41" s="29" t="n"/>
    </x:row>
    <x:row r="42" ht="24" customHeight="1">
      <x:c r="A42" s="21" t="inlineStr">
        <x:is>
          <x:t xml:space="preserve">E28</x:t>
        </x:is>
      </x:c>
      <x:c r="B42" s="21" t="n">
        <x:v>38</x:v>
      </x:c>
      <x:c r="C42" s="21" t="inlineStr">
        <x:is>
          <x:t xml:space="preserve">Exercise</x:t>
        </x:is>
      </x:c>
      <x:c r="D42" s="21" t="inlineStr">
        <x:is>
          <x:t xml:space="preserve">Ex 28</x:t>
        </x:is>
      </x:c>
      <x:c r="E42" s="22" t="inlineStr">
        <x:is>
          <x:t xml:space="preserve">Exercise 28 — Advanced L_p / UI examples</x:t>
        </x:is>
      </x:c>
      <x:c r="F42" s="22" t="inlineStr">
        <x:is>
          <x:t xml:space="preserve">Counterexample bank plus structure problem</x:t>
        </x:is>
      </x:c>
      <x:c r="G42" s="23" t="n">
        <x:v>38</x:v>
      </x:c>
      <x:c r="H42" s="24">
        <x:f>IF(Protocol!$B$3="","",Protocol!$B$3+G42-1)</x:f>
      </x:c>
      <x:c r="I42" s="23" t="n"/>
      <x:c r="J42" s="23" t="n">
        <x:v>80</x:v>
      </x:c>
      <x:c r="K42" s="45" t="n"/>
      <x:c r="L42" s="45" t="n"/>
      <x:c r="M42" s="26">
        <x:f>IF(AND(K42&lt;&gt;"",L42&lt;&gt;""),(L42-K42)*1440,"")</x:f>
      </x:c>
      <x:c r="N42" s="45" t="n"/>
      <x:c r="O42" s="45" t="n"/>
      <x:c r="P42" s="26">
        <x:f>IF(AND(N42&lt;&gt;"",O42&lt;&gt;""),(O42-N42)*1440,"")</x:f>
      </x:c>
      <x:c r="Q42" s="30" t="inlineStr">
        <x:is>
          <x:t xml:space="preserve">Not Started</x:t>
        </x:is>
      </x:c>
      <x:c r="R42" s="28">
        <x:f>IF(O42&lt;&gt;"",INT(O42)+2,"")</x:f>
      </x:c>
      <x:c r="S42" s="27" t="inlineStr">
        <x:is>
          <x:t xml:space="preserve">No</x:t>
        </x:is>
      </x:c>
      <x:c r="T42" s="30" t="n"/>
      <x:c r="U42" s="29" t="n"/>
      <x:c r="V42" s="29" t="n"/>
    </x:row>
    <x:row r="43" ht="24" customHeight="1">
      <x:c r="A43" s="21" t="inlineStr">
        <x:is>
          <x:t xml:space="preserve">E23</x:t>
        </x:is>
      </x:c>
      <x:c r="B43" s="21" t="n">
        <x:v>39</x:v>
      </x:c>
      <x:c r="C43" s="21" t="inlineStr">
        <x:is>
          <x:t xml:space="preserve">Exercise</x:t>
        </x:is>
      </x:c>
      <x:c r="D43" s="21" t="inlineStr">
        <x:is>
          <x:t xml:space="preserve">Ex 23</x:t>
        </x:is>
      </x:c>
      <x:c r="E43" s="22" t="inlineStr">
        <x:is>
          <x:t xml:space="preserve">Exercise 23 — Mixed advanced</x:t>
        </x:is>
      </x:c>
      <x:c r="F43" s="22" t="inlineStr">
        <x:is>
          <x:t xml:space="preserve">Constructed example / triangular-array / mixed-tool problem</x:t>
        </x:is>
      </x:c>
      <x:c r="G43" s="23" t="n">
        <x:v>39</x:v>
      </x:c>
      <x:c r="H43" s="24">
        <x:f>IF(Protocol!$B$3="","",Protocol!$B$3+G43-1)</x:f>
      </x:c>
      <x:c r="I43" s="23" t="n"/>
      <x:c r="J43" s="23" t="n">
        <x:v>80</x:v>
      </x:c>
      <x:c r="K43" s="45" t="n"/>
      <x:c r="L43" s="45" t="n"/>
      <x:c r="M43" s="26">
        <x:f>IF(AND(K43&lt;&gt;"",L43&lt;&gt;""),(L43-K43)*1440,"")</x:f>
      </x:c>
      <x:c r="N43" s="45" t="n"/>
      <x:c r="O43" s="45" t="n"/>
      <x:c r="P43" s="26">
        <x:f>IF(AND(N43&lt;&gt;"",O43&lt;&gt;""),(O43-N43)*1440,"")</x:f>
      </x:c>
      <x:c r="Q43" s="30" t="inlineStr">
        <x:is>
          <x:t xml:space="preserve">Not Started</x:t>
        </x:is>
      </x:c>
      <x:c r="R43" s="28">
        <x:f>IF(O43&lt;&gt;"",INT(O43)+2,"")</x:f>
      </x:c>
      <x:c r="S43" s="27" t="inlineStr">
        <x:is>
          <x:t xml:space="preserve">No</x:t>
        </x:is>
      </x:c>
      <x:c r="T43" s="30" t="n"/>
      <x:c r="U43" s="29" t="n"/>
      <x:c r="V43" s="29" t="n"/>
    </x:row>
    <x:row r="44" ht="24" customHeight="1">
      <x:c r="A44" s="21" t="inlineStr">
        <x:is>
          <x:t xml:space="preserve">E29</x:t>
        </x:is>
      </x:c>
      <x:c r="B44" s="21" t="n">
        <x:v>40</x:v>
      </x:c>
      <x:c r="C44" s="21" t="inlineStr">
        <x:is>
          <x:t xml:space="preserve">Exercise</x:t>
        </x:is>
      </x:c>
      <x:c r="D44" s="21" t="inlineStr">
        <x:is>
          <x:t xml:space="preserve">Ex 29</x:t>
        </x:is>
      </x:c>
      <x:c r="E44" s="22" t="inlineStr">
        <x:is>
          <x:t xml:space="preserve">Exercise 29 — Mixed advanced</x:t>
        </x:is>
      </x:c>
      <x:c r="F44" s="22" t="inlineStr">
        <x:is>
          <x:t xml:space="preserve">Constructed example / triangular-array / mixed-tool problem</x:t>
        </x:is>
      </x:c>
      <x:c r="G44" s="23" t="n">
        <x:v>40</x:v>
      </x:c>
      <x:c r="H44" s="24">
        <x:f>IF(Protocol!$B$3="","",Protocol!$B$3+G44-1)</x:f>
      </x:c>
      <x:c r="I44" s="23" t="n"/>
      <x:c r="J44" s="23" t="n">
        <x:v>80</x:v>
      </x:c>
      <x:c r="K44" s="45" t="n"/>
      <x:c r="L44" s="45" t="n"/>
      <x:c r="M44" s="26">
        <x:f>IF(AND(K44&lt;&gt;"",L44&lt;&gt;""),(L44-K44)*1440,"")</x:f>
      </x:c>
      <x:c r="N44" s="45" t="n"/>
      <x:c r="O44" s="45" t="n"/>
      <x:c r="P44" s="26">
        <x:f>IF(AND(N44&lt;&gt;"",O44&lt;&gt;""),(O44-N44)*1440,"")</x:f>
      </x:c>
      <x:c r="Q44" s="30" t="inlineStr">
        <x:is>
          <x:t xml:space="preserve">Not Started</x:t>
        </x:is>
      </x:c>
      <x:c r="R44" s="28">
        <x:f>IF(O44&lt;&gt;"",INT(O44)+2,"")</x:f>
      </x:c>
      <x:c r="S44" s="27" t="inlineStr">
        <x:is>
          <x:t xml:space="preserve">No</x:t>
        </x:is>
      </x:c>
      <x:c r="T44" s="30" t="n"/>
      <x:c r="U44" s="29" t="n"/>
      <x:c r="V44" s="29" t="n"/>
    </x:row>
    <x:row r="45" ht="24" customHeight="1">
      <x:c r="A45" s="21" t="inlineStr">
        <x:is>
          <x:t xml:space="preserve">E33</x:t>
        </x:is>
      </x:c>
      <x:c r="B45" s="21" t="n">
        <x:v>41</x:v>
      </x:c>
      <x:c r="C45" s="21" t="inlineStr">
        <x:is>
          <x:t xml:space="preserve">Exercise</x:t>
        </x:is>
      </x:c>
      <x:c r="D45" s="21" t="inlineStr">
        <x:is>
          <x:t xml:space="preserve">Ex 33</x:t>
        </x:is>
      </x:c>
      <x:c r="E45" s="22" t="inlineStr">
        <x:is>
          <x:t xml:space="preserve">Exercise 33 — Mixed advanced</x:t>
        </x:is>
      </x:c>
      <x:c r="F45" s="22" t="inlineStr">
        <x:is>
          <x:t xml:space="preserve">Constructed example / triangular-array / mixed-tool problem</x:t>
        </x:is>
      </x:c>
      <x:c r="G45" s="23" t="n">
        <x:v>41</x:v>
      </x:c>
      <x:c r="H45" s="24">
        <x:f>IF(Protocol!$B$3="","",Protocol!$B$3+G45-1)</x:f>
      </x:c>
      <x:c r="I45" s="23" t="n"/>
      <x:c r="J45" s="23" t="n">
        <x:v>80</x:v>
      </x:c>
      <x:c r="K45" s="45" t="n"/>
      <x:c r="L45" s="45" t="n"/>
      <x:c r="M45" s="26">
        <x:f>IF(AND(K45&lt;&gt;"",L45&lt;&gt;""),(L45-K45)*1440,"")</x:f>
      </x:c>
      <x:c r="N45" s="45" t="n"/>
      <x:c r="O45" s="45" t="n"/>
      <x:c r="P45" s="26">
        <x:f>IF(AND(N45&lt;&gt;"",O45&lt;&gt;""),(O45-N45)*1440,"")</x:f>
      </x:c>
      <x:c r="Q45" s="30" t="inlineStr">
        <x:is>
          <x:t xml:space="preserve">Not Started</x:t>
        </x:is>
      </x:c>
      <x:c r="R45" s="28">
        <x:f>IF(O45&lt;&gt;"",INT(O45)+2,"")</x:f>
      </x:c>
      <x:c r="S45" s="27" t="inlineStr">
        <x:is>
          <x:t xml:space="preserve">No</x:t>
        </x:is>
      </x:c>
      <x:c r="T45" s="30" t="n"/>
      <x:c r="U45" s="29" t="n"/>
      <x:c r="V45" s="29" t="n"/>
    </x:row>
    <x:row r="46" ht="24" customHeight="1">
      <x:c r="A46" s="21" t="inlineStr">
        <x:is>
          <x:t xml:space="preserve">E31</x:t>
        </x:is>
      </x:c>
      <x:c r="B46" s="21" t="n">
        <x:v>42</x:v>
      </x:c>
      <x:c r="C46" s="21" t="inlineStr">
        <x:is>
          <x:t xml:space="preserve">Exercise</x:t>
        </x:is>
      </x:c>
      <x:c r="D46" s="21" t="inlineStr">
        <x:is>
          <x:t xml:space="preserve">Ex 31</x:t>
        </x:is>
      </x:c>
      <x:c r="E46" s="22" t="inlineStr">
        <x:is>
          <x:t xml:space="preserve">Exercise 31 — Statistics-flavored</x:t>
        </x:is>
      </x:c>
      <x:c r="F46" s="22" t="inlineStr">
        <x:is>
          <x:t xml:space="preserve">Connect median / central value with convergence notions</x:t>
        </x:is>
      </x:c>
      <x:c r="G46" s="23" t="n">
        <x:v>42</x:v>
      </x:c>
      <x:c r="H46" s="24">
        <x:f>IF(Protocol!$B$3="","",Protocol!$B$3+G46-1)</x:f>
      </x:c>
      <x:c r="I46" s="23" t="n"/>
      <x:c r="J46" s="23" t="n">
        <x:v>70</x:v>
      </x:c>
      <x:c r="K46" s="45" t="n"/>
      <x:c r="L46" s="45" t="n"/>
      <x:c r="M46" s="26">
        <x:f>IF(AND(K46&lt;&gt;"",L46&lt;&gt;""),(L46-K46)*1440,"")</x:f>
      </x:c>
      <x:c r="N46" s="45" t="n"/>
      <x:c r="O46" s="45" t="n"/>
      <x:c r="P46" s="26">
        <x:f>IF(AND(N46&lt;&gt;"",O46&lt;&gt;""),(O46-N46)*1440,"")</x:f>
      </x:c>
      <x:c r="Q46" s="30" t="inlineStr">
        <x:is>
          <x:t xml:space="preserve">Not Started</x:t>
        </x:is>
      </x:c>
      <x:c r="R46" s="28">
        <x:f>IF(O46&lt;&gt;"",INT(O46)+2,"")</x:f>
      </x:c>
      <x:c r="S46" s="27" t="inlineStr">
        <x:is>
          <x:t xml:space="preserve">No</x:t>
        </x:is>
      </x:c>
      <x:c r="T46" s="30" t="n"/>
      <x:c r="U46" s="29" t="n"/>
      <x:c r="V46" s="29" t="n"/>
    </x:row>
    <x:row r="47" ht="24" customHeight="1">
      <x:c r="A47" s="21" t="inlineStr">
        <x:is>
          <x:t xml:space="preserve">E32</x:t>
        </x:is>
      </x:c>
      <x:c r="B47" s="21" t="n">
        <x:v>43</x:v>
      </x:c>
      <x:c r="C47" s="21" t="inlineStr">
        <x:is>
          <x:t xml:space="preserve">Exercise</x:t>
        </x:is>
      </x:c>
      <x:c r="D47" s="21" t="inlineStr">
        <x:is>
          <x:t xml:space="preserve">Ex 32</x:t>
        </x:is>
      </x:c>
      <x:c r="E47" s="22" t="inlineStr">
        <x:is>
          <x:t xml:space="preserve">Exercise 32 — Statistics-flavored</x:t>
        </x:is>
      </x:c>
      <x:c r="F47" s="22" t="inlineStr">
        <x:is>
          <x:t xml:space="preserve">Connect median / central value with convergence notions</x:t>
        </x:is>
      </x:c>
      <x:c r="G47" s="23" t="n">
        <x:v>43</x:v>
      </x:c>
      <x:c r="H47" s="24">
        <x:f>IF(Protocol!$B$3="","",Protocol!$B$3+G47-1)</x:f>
      </x:c>
      <x:c r="I47" s="23" t="n"/>
      <x:c r="J47" s="23" t="n">
        <x:v>70</x:v>
      </x:c>
      <x:c r="K47" s="45" t="n"/>
      <x:c r="L47" s="45" t="n"/>
      <x:c r="M47" s="26">
        <x:f>IF(AND(K47&lt;&gt;"",L47&lt;&gt;""),(L47-K47)*1440,"")</x:f>
      </x:c>
      <x:c r="N47" s="45" t="n"/>
      <x:c r="O47" s="45" t="n"/>
      <x:c r="P47" s="26">
        <x:f>IF(AND(N47&lt;&gt;"",O47&lt;&gt;""),(O47-N47)*1440,"")</x:f>
      </x:c>
      <x:c r="Q47" s="30" t="inlineStr">
        <x:is>
          <x:t xml:space="preserve">Not Started</x:t>
        </x:is>
      </x:c>
      <x:c r="R47" s="28">
        <x:f>IF(O47&lt;&gt;"",INT(O47)+2,"")</x:f>
      </x:c>
      <x:c r="S47" s="27" t="inlineStr">
        <x:is>
          <x:t xml:space="preserve">No</x:t>
        </x:is>
      </x:c>
      <x:c r="T47" s="30" t="n"/>
      <x:c r="U47" s="29" t="n"/>
      <x:c r="V47" s="29" t="n"/>
    </x:row>
    <x:row r="48" ht="24" customHeight="1">
      <x:c r="A48" s="31" t="inlineStr">
        <x:is>
          <x:t xml:space="preserve">S2</x:t>
        </x:is>
      </x:c>
      <x:c r="B48" s="31" t="n">
        <x:v>44</x:v>
      </x:c>
      <x:c r="C48" s="31" t="inlineStr">
        <x:is>
          <x:t xml:space="preserve">Summary</x:t>
        </x:is>
      </x:c>
      <x:c r="D48" s="31" t="inlineStr">
        <x:is>
          <x:t xml:space="preserve">6.4–6.6</x:t>
        </x:is>
      </x:c>
      <x:c r="E48" s="32" t="inlineStr">
        <x:is>
          <x:t xml:space="preserve">Summary Block 2 + Big Picture</x:t>
        </x:is>
      </x:c>
      <x:c r="F48" s="32" t="inlineStr">
        <x:is>
          <x:t xml:space="preserve">Summarize the relationship map among L_p, UI, and moment convergence</x:t>
        </x:is>
      </x:c>
      <x:c r="G48" s="33" t="n">
        <x:v>44</x:v>
      </x:c>
      <x:c r="H48" s="24">
        <x:f>IF(Protocol!$B$3="","",Protocol!$B$3+G48-1)</x:f>
      </x:c>
      <x:c r="I48" s="33" t="n">
        <x:v>50</x:v>
      </x:c>
      <x:c r="J48" s="33" t="n"/>
      <x:c r="K48" s="45" t="n"/>
      <x:c r="L48" s="45" t="n"/>
      <x:c r="M48" s="26">
        <x:f>IF(AND(K48&lt;&gt;"",L48&lt;&gt;""),(L48-K48)*1440,"")</x:f>
      </x:c>
      <x:c r="N48" s="46" t="n"/>
      <x:c r="O48" s="46" t="n"/>
      <x:c r="P48" s="35">
        <x:f>IF(AND(N48&lt;&gt;"",O48&lt;&gt;""),(O48-N48)*1440,"")</x:f>
      </x:c>
      <x:c r="Q48" s="27" t="inlineStr">
        <x:is>
          <x:t xml:space="preserve">Not Started</x:t>
        </x:is>
      </x:c>
      <x:c r="R48" s="28">
        <x:f>IF(O48&lt;&gt;"",INT(O48)+2,"")</x:f>
      </x:c>
      <x:c r="S48" s="36" t="inlineStr">
        <x:is>
          <x:t xml:space="preserve">No</x:t>
        </x:is>
      </x:c>
      <x:c r="T48" s="36" t="n"/>
      <x:c r="U48" s="29" t="n"/>
      <x:c r="V48" s="29" t="n"/>
    </x:row>
  </x:sheetData>
  <x:mergeCells>
    <x:mergeCell ref="A1:V1"/>
    <x:mergeCell ref="E2:J2"/>
  </x:mergeCells>
  <x:conditionalFormatting sqref="Q5:Q28">
    <x:cfRule type="containsText" dxfId="0" priority="1" operator="containsText">
      <x:formula>NOT(ISERROR(SEARCH("Completed",Q5)))</x:formula>
    </x:cfRule>
    <x:cfRule type="containsText" dxfId="1" priority="2" operator="containsText">
      <x:formula>NOT(ISERROR(SEARCH("Reading",Q5)))</x:formula>
    </x:cfRule>
    <x:cfRule type="containsText" dxfId="2" priority="3" operator="containsText">
      <x:formula>NOT(ISERROR(SEARCH("Doing Exercises",Q5)))</x:formula>
    </x:cfRule>
    <x:cfRule type="containsText" dxfId="3" priority="4" operator="containsText">
      <x:formula>NOT(ISERROR(SEARCH("Review Due",Q5)))</x:formula>
    </x:cfRule>
    <x:cfRule type="containsText" dxfId="4" priority="5" operator="containsText">
      <x:formula>NOT(ISERROR(SEARCH("Not Started",Q5)))</x:formula>
    </x:cfRule>
  </x:conditionalFormatting>
  <x:dataValidations count="3">
    <x:dataValidation type="list" allowBlank="1" showDropDown="0" showInputMessage="0" showErrorMessage="0" sqref="Q5:Q48">
      <x:formula1>=Protocol!$J$1:$J$5</x:formula1>
    </x:dataValidation>
    <x:dataValidation type="list" allowBlank="1" showDropDown="0" showInputMessage="0" showErrorMessage="0" sqref="T5:T48">
      <x:formula1>=Protocol!$K$1:$K$5</x:formula1>
    </x:dataValidation>
    <x:dataValidation type="list" allowBlank="1" showDropDown="0" showInputMessage="0" showErrorMessage="0" sqref="S5:S48">
      <x:formula1>"Yes,No"</x:formula1>
    </x:dataValidation>
  </x:dataValidations>
  <x:pageMargins left="0.7" right="0.7" top="0.75" bottom="0.75" header="0.3" footer="0.3"/>
  <x:legacyDrawing xmlns:r="http://schemas.openxmlformats.org/officeDocument/2006/relationships" r:id="R5fbd66c0f2f04882"/>
  <x:tableParts count="1">
    <x:tablePart xmlns:r="http://schemas.openxmlformats.org/officeDocument/2006/relationships" r:id="R529966e4a772425b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customWidth="1"/>
    <x:col min="2" max="2" width="14" customWidth="1"/>
    <x:col min="3" max="3" width="23" customWidth="1"/>
    <x:col min="4" max="4" width="42" customWidth="1"/>
    <x:col min="5" max="5" width="11" customWidth="1"/>
    <x:col min="6" max="6" width="14" customWidth="1"/>
    <x:col min="7" max="7" width="9" customWidth="1"/>
  </x:cols>
  <x:sheetData>
    <x:row r="1">
      <x:c r="A1" s="1" t="inlineStr">
        <x:is>
          <x:t xml:space="preserve">Exercise Map for Chapter 6</x:t>
        </x:is>
      </x:c>
    </x:row>
    <x:row r="2">
      <x:c r="A2" t="inlineStr">
        <x:is>
          <x:t xml:space="preserve">One exercise row = one problem. This matches the “max 1 problem per day” rule.</x:t>
        </x:is>
      </x:c>
    </x:row>
    <x:row r="3">
      <x:c r="A3" s="2" t="inlineStr">
        <x:is>
          <x:t xml:space="preserve">Unit ID</x:t>
        </x:is>
      </x:c>
      <x:c r="B3" s="2" t="inlineStr">
        <x:is>
          <x:t xml:space="preserve">Exercises</x:t>
        </x:is>
      </x:c>
      <x:c r="C3" s="2" t="inlineStr">
        <x:is>
          <x:t xml:space="preserve">Topic Cluster</x:t>
        </x:is>
      </x:c>
      <x:c r="D3" s="2" t="inlineStr">
        <x:is>
          <x:t xml:space="preserve">Why this set matters</x:t>
        </x:is>
      </x:c>
      <x:c r="E3" s="2" t="inlineStr">
        <x:is>
          <x:t xml:space="preserve">Priority</x:t>
        </x:is>
      </x:c>
      <x:c r="F3" s="2" t="inlineStr">
        <x:is>
          <x:t xml:space="preserve">Suggested after</x:t>
        </x:is>
      </x:c>
      <x:c r="G3" s="2" t="inlineStr">
        <x:is>
          <x:t xml:space="preserve">Done?</x:t>
        </x:is>
      </x:c>
    </x:row>
    <x:row r="4">
      <x:c r="A4" s="37" t="inlineStr">
        <x:is>
          <x:t xml:space="preserve">E01</x:t>
        </x:is>
      </x:c>
      <x:c r="B4" s="37" t="n">
        <x:v>1</x:v>
      </x:c>
      <x:c r="C4" s="38" t="inlineStr">
        <x:is>
          <x:t xml:space="preserve">Core convergence 1</x:t>
        </x:is>
      </x:c>
      <x:c r="D4" s="38" t="inlineStr">
        <x:is>
          <x:t xml:space="preserve">Foundational problem on definitions and criteria</x:t>
        </x:is>
      </x:c>
      <x:c r="E4" s="37" t="inlineStr">
        <x:is>
          <x:t xml:space="preserve">High</x:t>
        </x:is>
      </x:c>
      <x:c r="F4" s="37" t="inlineStr">
        <x:is>
          <x:t xml:space="preserve">R4</x:t>
        </x:is>
      </x:c>
      <x:c r="G4" s="39" t="inlineStr">
        <x:is>
          <x:t xml:space="preserve">No</x:t>
        </x:is>
      </x:c>
    </x:row>
    <x:row r="5">
      <x:c r="A5" s="37" t="inlineStr">
        <x:is>
          <x:t xml:space="preserve">E12</x:t>
        </x:is>
      </x:c>
      <x:c r="B5" s="37" t="n">
        <x:v>12</x:v>
      </x:c>
      <x:c r="C5" s="38" t="inlineStr">
        <x:is>
          <x:t xml:space="preserve">Core convergence 1</x:t>
        </x:is>
      </x:c>
      <x:c r="D5" s="38" t="inlineStr">
        <x:is>
          <x:t xml:space="preserve">Foundational problem on definitions and criteria</x:t>
        </x:is>
      </x:c>
      <x:c r="E5" s="37" t="inlineStr">
        <x:is>
          <x:t xml:space="preserve">High</x:t>
        </x:is>
      </x:c>
      <x:c r="F5" s="37" t="inlineStr">
        <x:is>
          <x:t xml:space="preserve">R4</x:t>
        </x:is>
      </x:c>
      <x:c r="G5" s="39" t="inlineStr">
        <x:is>
          <x:t xml:space="preserve">No</x:t>
        </x:is>
      </x:c>
    </x:row>
    <x:row r="6">
      <x:c r="A6" s="37" t="inlineStr">
        <x:is>
          <x:t xml:space="preserve">E17</x:t>
        </x:is>
      </x:c>
      <x:c r="B6" s="37" t="n">
        <x:v>17</x:v>
      </x:c>
      <x:c r="C6" s="38" t="inlineStr">
        <x:is>
          <x:t xml:space="preserve">Core convergence 2</x:t>
        </x:is>
      </x:c>
      <x:c r="D6" s="38" t="inlineStr">
        <x:is>
          <x:t xml:space="preserve">Basic property: discrete case / event comparison / distance idea</x:t>
        </x:is>
      </x:c>
      <x:c r="E6" s="37" t="inlineStr">
        <x:is>
          <x:t xml:space="preserve">High</x:t>
        </x:is>
      </x:c>
      <x:c r="F6" s="37" t="inlineStr">
        <x:is>
          <x:t xml:space="preserve">R4</x:t>
        </x:is>
      </x:c>
      <x:c r="G6" s="39" t="inlineStr">
        <x:is>
          <x:t xml:space="preserve">No</x:t>
        </x:is>
      </x:c>
    </x:row>
    <x:row r="7">
      <x:c r="A7" s="37" t="inlineStr">
        <x:is>
          <x:t xml:space="preserve">E19</x:t>
        </x:is>
      </x:c>
      <x:c r="B7" s="37" t="n">
        <x:v>19</x:v>
      </x:c>
      <x:c r="C7" s="38" t="inlineStr">
        <x:is>
          <x:t xml:space="preserve">Core convergence 2</x:t>
        </x:is>
      </x:c>
      <x:c r="D7" s="38" t="inlineStr">
        <x:is>
          <x:t xml:space="preserve">Basic property: discrete case / event comparison / distance idea</x:t>
        </x:is>
      </x:c>
      <x:c r="E7" s="37" t="inlineStr">
        <x:is>
          <x:t xml:space="preserve">High</x:t>
        </x:is>
      </x:c>
      <x:c r="F7" s="37" t="inlineStr">
        <x:is>
          <x:t xml:space="preserve">R4</x:t>
        </x:is>
      </x:c>
      <x:c r="G7" s="39" t="inlineStr">
        <x:is>
          <x:t xml:space="preserve">No</x:t>
        </x:is>
      </x:c>
    </x:row>
    <x:row r="8">
      <x:c r="A8" s="37" t="inlineStr">
        <x:is>
          <x:t xml:space="preserve">E21</x:t>
        </x:is>
      </x:c>
      <x:c r="B8" s="37" t="n">
        <x:v>21</x:v>
      </x:c>
      <x:c r="C8" s="38" t="inlineStr">
        <x:is>
          <x:t xml:space="preserve">Core convergence 2</x:t>
        </x:is>
      </x:c>
      <x:c r="D8" s="38" t="inlineStr">
        <x:is>
          <x:t xml:space="preserve">Basic property: discrete case / event comparison / distance idea</x:t>
        </x:is>
      </x:c>
      <x:c r="E8" s="37" t="inlineStr">
        <x:is>
          <x:t xml:space="preserve">High</x:t>
        </x:is>
      </x:c>
      <x:c r="F8" s="37" t="inlineStr">
        <x:is>
          <x:t xml:space="preserve">R4</x:t>
        </x:is>
      </x:c>
      <x:c r="G8" s="39" t="inlineStr">
        <x:is>
          <x:t xml:space="preserve">No</x:t>
        </x:is>
      </x:c>
    </x:row>
    <x:row r="9">
      <x:c r="A9" s="37" t="inlineStr">
        <x:is>
          <x:t xml:space="preserve">E24</x:t>
        </x:is>
      </x:c>
      <x:c r="B9" s="37" t="n">
        <x:v>24</x:v>
      </x:c>
      <x:c r="C9" s="38" t="inlineStr">
        <x:is>
          <x:t xml:space="preserve">Subsequence / mapping / metric</x:t>
        </x:is>
      </x:c>
      <x:c r="D9" s="38" t="inlineStr">
        <x:is>
          <x:t xml:space="preserve">Apply the core ideas of Section 6.3</x:t>
        </x:is>
      </x:c>
      <x:c r="E9" s="37" t="inlineStr">
        <x:is>
          <x:t xml:space="preserve">High</x:t>
        </x:is>
      </x:c>
      <x:c r="F9" s="37" t="inlineStr">
        <x:is>
          <x:t xml:space="preserve">R4</x:t>
        </x:is>
      </x:c>
      <x:c r="G9" s="39" t="inlineStr">
        <x:is>
          <x:t xml:space="preserve">No</x:t>
        </x:is>
      </x:c>
    </x:row>
    <x:row r="10">
      <x:c r="A10" s="37" t="inlineStr">
        <x:is>
          <x:t xml:space="preserve">E25</x:t>
        </x:is>
      </x:c>
      <x:c r="B10" s="37" t="n">
        <x:v>25</x:v>
      </x:c>
      <x:c r="C10" s="38" t="inlineStr">
        <x:is>
          <x:t xml:space="preserve">Subsequence / mapping / metric</x:t>
        </x:is>
      </x:c>
      <x:c r="D10" s="38" t="inlineStr">
        <x:is>
          <x:t xml:space="preserve">Apply the core ideas of Section 6.3</x:t>
        </x:is>
      </x:c>
      <x:c r="E10" s="37" t="inlineStr">
        <x:is>
          <x:t xml:space="preserve">High</x:t>
        </x:is>
      </x:c>
      <x:c r="F10" s="37" t="inlineStr">
        <x:is>
          <x:t xml:space="preserve">R4</x:t>
        </x:is>
      </x:c>
      <x:c r="G10" s="39" t="inlineStr">
        <x:is>
          <x:t xml:space="preserve">No</x:t>
        </x:is>
      </x:c>
    </x:row>
    <x:row r="11">
      <x:c r="A11" s="37" t="inlineStr">
        <x:is>
          <x:t xml:space="preserve">E02</x:t>
        </x:is>
      </x:c>
      <x:c r="B11" s="37" t="n">
        <x:v>2</x:v>
      </x:c>
      <x:c r="C11" s="38" t="inlineStr">
        <x:is>
          <x:t xml:space="preserve">Means and second moments</x:t>
        </x:is>
      </x:c>
      <x:c r="D11" s="38" t="inlineStr">
        <x:is>
          <x:t xml:space="preserve">Connect convergence notions with averaging and L2</x:t>
        </x:is>
      </x:c>
      <x:c r="E11" s="37" t="inlineStr">
        <x:is>
          <x:t xml:space="preserve">Medium</x:t>
        </x:is>
      </x:c>
      <x:c r="F11" s="37" t="inlineStr">
        <x:is>
          <x:t xml:space="preserve">R10</x:t>
        </x:is>
      </x:c>
      <x:c r="G11" s="39" t="inlineStr">
        <x:is>
          <x:t xml:space="preserve">No</x:t>
        </x:is>
      </x:c>
    </x:row>
    <x:row r="12">
      <x:c r="A12" s="37" t="inlineStr">
        <x:is>
          <x:t xml:space="preserve">E04</x:t>
        </x:is>
      </x:c>
      <x:c r="B12" s="37" t="n">
        <x:v>4</x:v>
      </x:c>
      <x:c r="C12" s="38" t="inlineStr">
        <x:is>
          <x:t xml:space="preserve">Means and second moments</x:t>
        </x:is>
      </x:c>
      <x:c r="D12" s="38" t="inlineStr">
        <x:is>
          <x:t xml:space="preserve">Connect convergence notions with averaging and L2</x:t>
        </x:is>
      </x:c>
      <x:c r="E12" s="37" t="inlineStr">
        <x:is>
          <x:t xml:space="preserve">Medium</x:t>
        </x:is>
      </x:c>
      <x:c r="F12" s="37" t="inlineStr">
        <x:is>
          <x:t xml:space="preserve">R10</x:t>
        </x:is>
      </x:c>
      <x:c r="G12" s="39" t="inlineStr">
        <x:is>
          <x:t xml:space="preserve">No</x:t>
        </x:is>
      </x:c>
    </x:row>
    <x:row r="13">
      <x:c r="A13" s="37" t="inlineStr">
        <x:is>
          <x:t xml:space="preserve">E05</x:t>
        </x:is>
      </x:c>
      <x:c r="B13" s="37" t="n">
        <x:v>5</x:v>
      </x:c>
      <x:c r="C13" s="38" t="inlineStr">
        <x:is>
          <x:t xml:space="preserve">UI basics</x:t>
        </x:is>
      </x:c>
      <x:c r="D13" s="38" t="inlineStr">
        <x:is>
          <x:t xml:space="preserve">Basic UI practice: is a family uniformly integrable?</x:t>
        </x:is>
      </x:c>
      <x:c r="E13" s="37" t="inlineStr">
        <x:is>
          <x:t xml:space="preserve">High</x:t>
        </x:is>
      </x:c>
      <x:c r="F13" s="37" t="inlineStr">
        <x:is>
          <x:t xml:space="preserve">R10</x:t>
        </x:is>
      </x:c>
      <x:c r="G13" s="39" t="inlineStr">
        <x:is>
          <x:t xml:space="preserve">No</x:t>
        </x:is>
      </x:c>
    </x:row>
    <x:row r="14">
      <x:c r="A14" s="37" t="inlineStr">
        <x:is>
          <x:t xml:space="preserve">E06</x:t>
        </x:is>
      </x:c>
      <x:c r="B14" s="37" t="n">
        <x:v>6</x:v>
      </x:c>
      <x:c r="C14" s="38" t="inlineStr">
        <x:is>
          <x:t xml:space="preserve">UI basics</x:t>
        </x:is>
      </x:c>
      <x:c r="D14" s="38" t="inlineStr">
        <x:is>
          <x:t xml:space="preserve">Basic UI practice: is a family uniformly integrable?</x:t>
        </x:is>
      </x:c>
      <x:c r="E14" s="37" t="inlineStr">
        <x:is>
          <x:t xml:space="preserve">High</x:t>
        </x:is>
      </x:c>
      <x:c r="F14" s="37" t="inlineStr">
        <x:is>
          <x:t xml:space="preserve">R10</x:t>
        </x:is>
      </x:c>
      <x:c r="G14" s="39" t="inlineStr">
        <x:is>
          <x:t xml:space="preserve">No</x:t>
        </x:is>
      </x:c>
    </x:row>
    <x:row r="15">
      <x:c r="A15" s="37" t="inlineStr">
        <x:is>
          <x:t xml:space="preserve">E08</x:t>
        </x:is>
      </x:c>
      <x:c r="B15" s="37" t="n">
        <x:v>8</x:v>
      </x:c>
      <x:c r="C15" s="38" t="inlineStr">
        <x:is>
          <x:t xml:space="preserve">UI basics</x:t>
        </x:is>
      </x:c>
      <x:c r="D15" s="38" t="inlineStr">
        <x:is>
          <x:t xml:space="preserve">Basic UI practice: is a family uniformly integrable?</x:t>
        </x:is>
      </x:c>
      <x:c r="E15" s="37" t="inlineStr">
        <x:is>
          <x:t xml:space="preserve">High</x:t>
        </x:is>
      </x:c>
      <x:c r="F15" s="37" t="inlineStr">
        <x:is>
          <x:t xml:space="preserve">R10</x:t>
        </x:is>
      </x:c>
      <x:c r="G15" s="39" t="inlineStr">
        <x:is>
          <x:t xml:space="preserve">No</x:t>
        </x:is>
      </x:c>
    </x:row>
    <x:row r="16">
      <x:c r="A16" s="37" t="inlineStr">
        <x:is>
          <x:t xml:space="preserve">E03</x:t>
        </x:is>
      </x:c>
      <x:c r="B16" s="37" t="n">
        <x:v>3</x:v>
      </x:c>
      <x:c r="C16" s="38" t="inlineStr">
        <x:is>
          <x:t xml:space="preserve">Inequalities + UI tests</x:t>
        </x:is>
      </x:c>
      <x:c r="D16" s="38" t="inlineStr">
        <x:is>
          <x:t xml:space="preserve">Practice the estimation tools until fluent</x:t>
        </x:is>
      </x:c>
      <x:c r="E16" s="37" t="inlineStr">
        <x:is>
          <x:t xml:space="preserve">Medium</x:t>
        </x:is>
      </x:c>
      <x:c r="F16" s="37" t="inlineStr">
        <x:is>
          <x:t xml:space="preserve">R10</x:t>
        </x:is>
      </x:c>
      <x:c r="G16" s="39" t="inlineStr">
        <x:is>
          <x:t xml:space="preserve">No</x:t>
        </x:is>
      </x:c>
    </x:row>
    <x:row r="17">
      <x:c r="A17" s="37" t="inlineStr">
        <x:is>
          <x:t xml:space="preserve">E09</x:t>
        </x:is>
      </x:c>
      <x:c r="B17" s="37" t="n">
        <x:v>9</x:v>
      </x:c>
      <x:c r="C17" s="38" t="inlineStr">
        <x:is>
          <x:t xml:space="preserve">Inequalities + UI tests</x:t>
        </x:is>
      </x:c>
      <x:c r="D17" s="38" t="inlineStr">
        <x:is>
          <x:t xml:space="preserve">Practice the estimation tools until fluent</x:t>
        </x:is>
      </x:c>
      <x:c r="E17" s="37" t="inlineStr">
        <x:is>
          <x:t xml:space="preserve">Medium</x:t>
        </x:is>
      </x:c>
      <x:c r="F17" s="37" t="inlineStr">
        <x:is>
          <x:t xml:space="preserve">R10</x:t>
        </x:is>
      </x:c>
      <x:c r="G17" s="39" t="inlineStr">
        <x:is>
          <x:t xml:space="preserve">No</x:t>
        </x:is>
      </x:c>
    </x:row>
    <x:row r="18">
      <x:c r="A18" s="37" t="inlineStr">
        <x:is>
          <x:t xml:space="preserve">E10</x:t>
        </x:is>
      </x:c>
      <x:c r="B18" s="37" t="n">
        <x:v>10</x:v>
      </x:c>
      <x:c r="C18" s="38" t="inlineStr">
        <x:is>
          <x:t xml:space="preserve">Inequalities + UI tests</x:t>
        </x:is>
      </x:c>
      <x:c r="D18" s="38" t="inlineStr">
        <x:is>
          <x:t xml:space="preserve">Practice the estimation tools until fluent</x:t>
        </x:is>
      </x:c>
      <x:c r="E18" s="37" t="inlineStr">
        <x:is>
          <x:t xml:space="preserve">Medium</x:t>
        </x:is>
      </x:c>
      <x:c r="F18" s="37" t="inlineStr">
        <x:is>
          <x:t xml:space="preserve">R10</x:t>
        </x:is>
      </x:c>
      <x:c r="G18" s="39" t="inlineStr">
        <x:is>
          <x:t xml:space="preserve">No</x:t>
        </x:is>
      </x:c>
    </x:row>
    <x:row r="19">
      <x:c r="A19" s="37" t="inlineStr">
        <x:is>
          <x:t xml:space="preserve">E15</x:t>
        </x:is>
      </x:c>
      <x:c r="B19" s="37" t="n">
        <x:v>15</x:v>
      </x:c>
      <x:c r="C19" s="38" t="inlineStr">
        <x:is>
          <x:t xml:space="preserve">L_p basics</x:t>
        </x:is>
      </x:c>
      <x:c r="D19" s="38" t="inlineStr">
        <x:is>
          <x:t xml:space="preserve">See clearly what Lp, averaging, and scaling do and do not imply</x:t>
        </x:is>
      </x:c>
      <x:c r="E19" s="37" t="inlineStr">
        <x:is>
          <x:t xml:space="preserve">High</x:t>
        </x:is>
      </x:c>
      <x:c r="F19" s="37" t="inlineStr">
        <x:is>
          <x:t xml:space="preserve">R10</x:t>
        </x:is>
      </x:c>
      <x:c r="G19" s="39" t="inlineStr">
        <x:is>
          <x:t xml:space="preserve">No</x:t>
        </x:is>
      </x:c>
    </x:row>
    <x:row r="20">
      <x:c r="A20" s="37" t="inlineStr">
        <x:is>
          <x:t xml:space="preserve">E16</x:t>
        </x:is>
      </x:c>
      <x:c r="B20" s="37" t="n">
        <x:v>16</x:v>
      </x:c>
      <x:c r="C20" s="38" t="inlineStr">
        <x:is>
          <x:t xml:space="preserve">L_p basics</x:t>
        </x:is>
      </x:c>
      <x:c r="D20" s="38" t="inlineStr">
        <x:is>
          <x:t xml:space="preserve">See clearly what Lp, averaging, and scaling do and do not imply</x:t>
        </x:is>
      </x:c>
      <x:c r="E20" s="37" t="inlineStr">
        <x:is>
          <x:t xml:space="preserve">High</x:t>
        </x:is>
      </x:c>
      <x:c r="F20" s="37" t="inlineStr">
        <x:is>
          <x:t xml:space="preserve">R10</x:t>
        </x:is>
      </x:c>
      <x:c r="G20" s="39" t="inlineStr">
        <x:is>
          <x:t xml:space="preserve">No</x:t>
        </x:is>
      </x:c>
    </x:row>
    <x:row r="21">
      <x:c r="A21" s="37" t="inlineStr">
        <x:is>
          <x:t xml:space="preserve">E18</x:t>
        </x:is>
      </x:c>
      <x:c r="B21" s="37" t="n">
        <x:v>18</x:v>
      </x:c>
      <x:c r="C21" s="38" t="inlineStr">
        <x:is>
          <x:t xml:space="preserve">L_p basics</x:t>
        </x:is>
      </x:c>
      <x:c r="D21" s="38" t="inlineStr">
        <x:is>
          <x:t xml:space="preserve">See clearly what Lp, averaging, and scaling do and do not imply</x:t>
        </x:is>
      </x:c>
      <x:c r="E21" s="37" t="inlineStr">
        <x:is>
          <x:t xml:space="preserve">High</x:t>
        </x:is>
      </x:c>
      <x:c r="F21" s="37" t="inlineStr">
        <x:is>
          <x:t xml:space="preserve">R10</x:t>
        </x:is>
      </x:c>
      <x:c r="G21" s="39" t="inlineStr">
        <x:is>
          <x:t xml:space="preserve">No</x:t>
        </x:is>
      </x:c>
    </x:row>
    <x:row r="22">
      <x:c r="A22" s="37" t="inlineStr">
        <x:is>
          <x:t xml:space="preserve">E20</x:t>
        </x:is>
      </x:c>
      <x:c r="B22" s="37" t="n">
        <x:v>20</x:v>
      </x:c>
      <x:c r="C22" s="38" t="inlineStr">
        <x:is>
          <x:t xml:space="preserve">Moment / tail / probability</x:t>
        </x:is>
      </x:c>
      <x:c r="D22" s="38" t="inlineStr">
        <x:is>
          <x:t xml:space="preserve">Connect moment control with probability control</x:t>
        </x:is>
      </x:c>
      <x:c r="E22" s="37" t="inlineStr">
        <x:is>
          <x:t xml:space="preserve">Medium</x:t>
        </x:is>
      </x:c>
      <x:c r="F22" s="37" t="inlineStr">
        <x:is>
          <x:t xml:space="preserve">R10</x:t>
        </x:is>
      </x:c>
      <x:c r="G22" s="39" t="inlineStr">
        <x:is>
          <x:t xml:space="preserve">No</x:t>
        </x:is>
      </x:c>
    </x:row>
    <x:row r="23">
      <x:c r="A23" s="37" t="inlineStr">
        <x:is>
          <x:t xml:space="preserve">E22</x:t>
        </x:is>
      </x:c>
      <x:c r="B23" s="37" t="n">
        <x:v>22</x:v>
      </x:c>
      <x:c r="C23" s="38" t="inlineStr">
        <x:is>
          <x:t xml:space="preserve">Moment / tail / probability</x:t>
        </x:is>
      </x:c>
      <x:c r="D23" s="38" t="inlineStr">
        <x:is>
          <x:t xml:space="preserve">Connect moment control with probability control</x:t>
        </x:is>
      </x:c>
      <x:c r="E23" s="37" t="inlineStr">
        <x:is>
          <x:t xml:space="preserve">Medium</x:t>
        </x:is>
      </x:c>
      <x:c r="F23" s="37" t="inlineStr">
        <x:is>
          <x:t xml:space="preserve">R10</x:t>
        </x:is>
      </x:c>
      <x:c r="G23" s="39" t="inlineStr">
        <x:is>
          <x:t xml:space="preserve">No</x:t>
        </x:is>
      </x:c>
    </x:row>
    <x:row r="24">
      <x:c r="A24" s="37" t="inlineStr">
        <x:is>
          <x:t xml:space="preserve">E30</x:t>
        </x:is>
      </x:c>
      <x:c r="B24" s="37" t="n">
        <x:v>30</x:v>
      </x:c>
      <x:c r="C24" s="38" t="inlineStr">
        <x:is>
          <x:t xml:space="preserve">Moment / tail / probability</x:t>
        </x:is>
      </x:c>
      <x:c r="D24" s="38" t="inlineStr">
        <x:is>
          <x:t xml:space="preserve">Connect moment control with probability control</x:t>
        </x:is>
      </x:c>
      <x:c r="E24" s="37" t="inlineStr">
        <x:is>
          <x:t xml:space="preserve">Medium</x:t>
        </x:is>
      </x:c>
      <x:c r="F24" s="37" t="inlineStr">
        <x:is>
          <x:t xml:space="preserve">R10</x:t>
        </x:is>
      </x:c>
      <x:c r="G24" s="39" t="inlineStr">
        <x:is>
          <x:t xml:space="preserve">No</x:t>
        </x:is>
      </x:c>
    </x:row>
    <x:row r="25">
      <x:c r="A25" s="37" t="inlineStr">
        <x:is>
          <x:t xml:space="preserve">E11</x:t>
        </x:is>
      </x:c>
      <x:c r="B25" s="37" t="n">
        <x:v>11</x:v>
      </x:c>
      <x:c r="C25" s="38" t="inlineStr">
        <x:is>
          <x:t xml:space="preserve">Maxima / extremes style</x:t>
        </x:is>
      </x:c>
      <x:c r="D25" s="38" t="inlineStr">
        <x:is>
          <x:t xml:space="preserve">Tail behavior and extreme-value style probability estimates</x:t>
        </x:is>
      </x:c>
      <x:c r="E25" s="37" t="inlineStr">
        <x:is>
          <x:t xml:space="preserve">Medium</x:t>
        </x:is>
      </x:c>
      <x:c r="F25" s="37" t="inlineStr">
        <x:is>
          <x:t xml:space="preserve">R10</x:t>
        </x:is>
      </x:c>
      <x:c r="G25" s="39" t="inlineStr">
        <x:is>
          <x:t xml:space="preserve">No</x:t>
        </x:is>
      </x:c>
    </x:row>
    <x:row r="26">
      <x:c r="A26" s="37" t="inlineStr">
        <x:is>
          <x:t xml:space="preserve">E13</x:t>
        </x:is>
      </x:c>
      <x:c r="B26" s="37" t="n">
        <x:v>13</x:v>
      </x:c>
      <x:c r="C26" s="38" t="inlineStr">
        <x:is>
          <x:t xml:space="preserve">Maxima / extremes style</x:t>
        </x:is>
      </x:c>
      <x:c r="D26" s="38" t="inlineStr">
        <x:is>
          <x:t xml:space="preserve">Tail behavior and extreme-value style probability estimates</x:t>
        </x:is>
      </x:c>
      <x:c r="E26" s="37" t="inlineStr">
        <x:is>
          <x:t xml:space="preserve">Medium</x:t>
        </x:is>
      </x:c>
      <x:c r="F26" s="37" t="inlineStr">
        <x:is>
          <x:t xml:space="preserve">R10</x:t>
        </x:is>
      </x:c>
      <x:c r="G26" s="39" t="inlineStr">
        <x:is>
          <x:t xml:space="preserve">No</x:t>
        </x:is>
      </x:c>
    </x:row>
    <x:row r="27">
      <x:c r="A27" s="37" t="inlineStr">
        <x:is>
          <x:t xml:space="preserve">E14</x:t>
        </x:is>
      </x:c>
      <x:c r="B27" s="37" t="n">
        <x:v>14</x:v>
      </x:c>
      <x:c r="C27" s="38" t="inlineStr">
        <x:is>
          <x:t xml:space="preserve">Maxima / extremes style</x:t>
        </x:is>
      </x:c>
      <x:c r="D27" s="38" t="inlineStr">
        <x:is>
          <x:t xml:space="preserve">Tail behavior and extreme-value style probability estimates</x:t>
        </x:is>
      </x:c>
      <x:c r="E27" s="37" t="inlineStr">
        <x:is>
          <x:t xml:space="preserve">Medium</x:t>
        </x:is>
      </x:c>
      <x:c r="F27" s="37" t="inlineStr">
        <x:is>
          <x:t xml:space="preserve">R10</x:t>
        </x:is>
      </x:c>
      <x:c r="G27" s="39" t="inlineStr">
        <x:is>
          <x:t xml:space="preserve">No</x:t>
        </x:is>
      </x:c>
    </x:row>
    <x:row r="28">
      <x:c r="A28" s="37" t="inlineStr">
        <x:is>
          <x:t xml:space="preserve">E26</x:t>
        </x:is>
      </x:c>
      <x:c r="B28" s="37" t="n">
        <x:v>26</x:v>
      </x:c>
      <x:c r="C28" s="38" t="inlineStr">
        <x:is>
          <x:t xml:space="preserve">Advanced L_p / UI examples</x:t>
        </x:is>
      </x:c>
      <x:c r="D28" s="38" t="inlineStr">
        <x:is>
          <x:t xml:space="preserve">Counterexample bank plus structure problem</x:t>
        </x:is>
      </x:c>
      <x:c r="E28" s="37" t="inlineStr">
        <x:is>
          <x:t xml:space="preserve">High</x:t>
        </x:is>
      </x:c>
      <x:c r="F28" s="37" t="inlineStr">
        <x:is>
          <x:t xml:space="preserve">R10</x:t>
        </x:is>
      </x:c>
      <x:c r="G28" s="39" t="inlineStr">
        <x:is>
          <x:t xml:space="preserve">No</x:t>
        </x:is>
      </x:c>
    </x:row>
    <x:row r="29">
      <x:c r="A29" s="37" t="inlineStr">
        <x:is>
          <x:t xml:space="preserve">E27</x:t>
        </x:is>
      </x:c>
      <x:c r="B29" s="37" t="n">
        <x:v>27</x:v>
      </x:c>
      <x:c r="C29" s="38" t="inlineStr">
        <x:is>
          <x:t xml:space="preserve">Advanced L_p / UI examples</x:t>
        </x:is>
      </x:c>
      <x:c r="D29" s="38" t="inlineStr">
        <x:is>
          <x:t xml:space="preserve">Counterexample bank plus structure problem</x:t>
        </x:is>
      </x:c>
      <x:c r="E29" s="37" t="inlineStr">
        <x:is>
          <x:t xml:space="preserve">High</x:t>
        </x:is>
      </x:c>
      <x:c r="F29" s="37" t="inlineStr">
        <x:is>
          <x:t xml:space="preserve">R10</x:t>
        </x:is>
      </x:c>
      <x:c r="G29" s="39" t="inlineStr">
        <x:is>
          <x:t xml:space="preserve">No</x:t>
        </x:is>
      </x:c>
    </x:row>
    <x:row r="30">
      <x:c r="A30" s="37" t="inlineStr">
        <x:is>
          <x:t xml:space="preserve">E28</x:t>
        </x:is>
      </x:c>
      <x:c r="B30" s="37" t="n">
        <x:v>28</x:v>
      </x:c>
      <x:c r="C30" s="38" t="inlineStr">
        <x:is>
          <x:t xml:space="preserve">Advanced L_p / UI examples</x:t>
        </x:is>
      </x:c>
      <x:c r="D30" s="38" t="inlineStr">
        <x:is>
          <x:t xml:space="preserve">Counterexample bank plus structure problem</x:t>
        </x:is>
      </x:c>
      <x:c r="E30" s="37" t="inlineStr">
        <x:is>
          <x:t xml:space="preserve">High</x:t>
        </x:is>
      </x:c>
      <x:c r="F30" s="37" t="inlineStr">
        <x:is>
          <x:t xml:space="preserve">R10</x:t>
        </x:is>
      </x:c>
      <x:c r="G30" s="39" t="inlineStr">
        <x:is>
          <x:t xml:space="preserve">No</x:t>
        </x:is>
      </x:c>
    </x:row>
    <x:row r="31">
      <x:c r="A31" s="37" t="inlineStr">
        <x:is>
          <x:t xml:space="preserve">E23</x:t>
        </x:is>
      </x:c>
      <x:c r="B31" s="37" t="n">
        <x:v>23</x:v>
      </x:c>
      <x:c r="C31" s="38" t="inlineStr">
        <x:is>
          <x:t xml:space="preserve">Mixed advanced</x:t>
        </x:is>
      </x:c>
      <x:c r="D31" s="38" t="inlineStr">
        <x:is>
          <x:t xml:space="preserve">Constructed example / triangular-array / mixed-tool problem</x:t>
        </x:is>
      </x:c>
      <x:c r="E31" s="37" t="inlineStr">
        <x:is>
          <x:t xml:space="preserve">Medium</x:t>
        </x:is>
      </x:c>
      <x:c r="F31" s="37" t="inlineStr">
        <x:is>
          <x:t xml:space="preserve">R10</x:t>
        </x:is>
      </x:c>
      <x:c r="G31" s="39" t="inlineStr">
        <x:is>
          <x:t xml:space="preserve">No</x:t>
        </x:is>
      </x:c>
    </x:row>
    <x:row r="32">
      <x:c r="A32" s="37" t="inlineStr">
        <x:is>
          <x:t xml:space="preserve">E29</x:t>
        </x:is>
      </x:c>
      <x:c r="B32" s="37" t="n">
        <x:v>29</x:v>
      </x:c>
      <x:c r="C32" s="38" t="inlineStr">
        <x:is>
          <x:t xml:space="preserve">Mixed advanced</x:t>
        </x:is>
      </x:c>
      <x:c r="D32" s="38" t="inlineStr">
        <x:is>
          <x:t xml:space="preserve">Constructed example / triangular-array / mixed-tool problem</x:t>
        </x:is>
      </x:c>
      <x:c r="E32" s="37" t="inlineStr">
        <x:is>
          <x:t xml:space="preserve">Medium</x:t>
        </x:is>
      </x:c>
      <x:c r="F32" s="37" t="inlineStr">
        <x:is>
          <x:t xml:space="preserve">R10</x:t>
        </x:is>
      </x:c>
      <x:c r="G32" s="39" t="inlineStr">
        <x:is>
          <x:t xml:space="preserve">No</x:t>
        </x:is>
      </x:c>
    </x:row>
    <x:row r="33">
      <x:c r="A33" s="37" t="inlineStr">
        <x:is>
          <x:t xml:space="preserve">E33</x:t>
        </x:is>
      </x:c>
      <x:c r="B33" s="37" t="n">
        <x:v>33</x:v>
      </x:c>
      <x:c r="C33" s="38" t="inlineStr">
        <x:is>
          <x:t xml:space="preserve">Mixed advanced</x:t>
        </x:is>
      </x:c>
      <x:c r="D33" s="38" t="inlineStr">
        <x:is>
          <x:t xml:space="preserve">Constructed example / triangular-array / mixed-tool problem</x:t>
        </x:is>
      </x:c>
      <x:c r="E33" s="37" t="inlineStr">
        <x:is>
          <x:t xml:space="preserve">Medium</x:t>
        </x:is>
      </x:c>
      <x:c r="F33" s="37" t="inlineStr">
        <x:is>
          <x:t xml:space="preserve">R10</x:t>
        </x:is>
      </x:c>
      <x:c r="G33" s="39" t="inlineStr">
        <x:is>
          <x:t xml:space="preserve">No</x:t>
        </x:is>
      </x:c>
    </x:row>
    <x:row r="34">
      <x:c r="A34" s="37" t="inlineStr">
        <x:is>
          <x:t xml:space="preserve">E31</x:t>
        </x:is>
      </x:c>
      <x:c r="B34" s="37" t="n">
        <x:v>31</x:v>
      </x:c>
      <x:c r="C34" s="38" t="inlineStr">
        <x:is>
          <x:t xml:space="preserve">Statistics-flavored</x:t>
        </x:is>
      </x:c>
      <x:c r="D34" s="38" t="inlineStr">
        <x:is>
          <x:t xml:space="preserve">Connect median / central value with convergence notions</x:t>
        </x:is>
      </x:c>
      <x:c r="E34" s="37" t="inlineStr">
        <x:is>
          <x:t xml:space="preserve">Medium</x:t>
        </x:is>
      </x:c>
      <x:c r="F34" s="37" t="inlineStr">
        <x:is>
          <x:t xml:space="preserve">R10</x:t>
        </x:is>
      </x:c>
      <x:c r="G34" s="39" t="inlineStr">
        <x:is>
          <x:t xml:space="preserve">No</x:t>
        </x:is>
      </x:c>
    </x:row>
    <x:row r="35">
      <x:c r="A35" s="37" t="inlineStr">
        <x:is>
          <x:t xml:space="preserve">E32</x:t>
        </x:is>
      </x:c>
      <x:c r="B35" s="37" t="n">
        <x:v>32</x:v>
      </x:c>
      <x:c r="C35" s="38" t="inlineStr">
        <x:is>
          <x:t xml:space="preserve">Statistics-flavored</x:t>
        </x:is>
      </x:c>
      <x:c r="D35" s="38" t="inlineStr">
        <x:is>
          <x:t xml:space="preserve">Connect median / central value with convergence notions</x:t>
        </x:is>
      </x:c>
      <x:c r="E35" s="37" t="inlineStr">
        <x:is>
          <x:t xml:space="preserve">Medium</x:t>
        </x:is>
      </x:c>
      <x:c r="F35" s="37" t="inlineStr">
        <x:is>
          <x:t xml:space="preserve">R10</x:t>
        </x:is>
      </x:c>
      <x:c r="G35" s="39" t="inlineStr">
        <x:is>
          <x:t xml:space="preserve">No</x:t>
        </x:is>
      </x:c>
    </x:row>
  </x:sheetData>
  <x:mergeCells>
    <x:mergeCell ref="A1:G1"/>
  </x:mergeCells>
  <x:dataValidations count="1">
    <x:dataValidation type="list" allowBlank="1" showDropDown="0" showInputMessage="0" showErrorMessage="0" sqref="G4:G35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a0c24b027c41e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9" customWidth="1"/>
    <x:col min="3" max="3" width="20" customWidth="1"/>
    <x:col min="4" max="4" width="11" customWidth="1"/>
    <x:col min="5" max="5" width="11" customWidth="1"/>
    <x:col min="6" max="6" width="14" customWidth="1"/>
    <x:col min="7" max="7" width="28" customWidth="1"/>
    <x:col min="8" max="8" width="24" customWidth="1"/>
    <x:col min="9" max="9" width="24" customWidth="1"/>
    <x:col min="10" max="10" width="16" customWidth="1"/>
  </x:cols>
  <x:sheetData>
    <x:row r="1">
      <x:c r="A1" s="1" t="inlineStr">
        <x:is>
          <x:t xml:space="preserve">Daily Check-in Log</x:t>
        </x:is>
      </x:c>
    </x:row>
    <x:row r="2">
      <x:c r="A2" s="19" t="inlineStr">
        <x:is>
          <x:t xml:space="preserve">Use one row per day. This sheet is for reflections; Unit Plan remains the source of truth for timings.</x:t>
        </x:is>
      </x:c>
    </x:row>
    <x:row r="4">
      <x:c r="A4" s="2" t="inlineStr">
        <x:is>
          <x:t xml:space="preserve">Date</x:t>
        </x:is>
      </x:c>
      <x:c r="B4" s="2" t="inlineStr">
        <x:is>
          <x:t xml:space="preserve">Day #</x:t>
        </x:is>
      </x:c>
      <x:c r="C4" s="2" t="inlineStr">
        <x:is>
          <x:t xml:space="preserve">Units touched</x:t>
        </x:is>
      </x:c>
      <x:c r="D4" s="2" t="inlineStr">
        <x:is>
          <x:t xml:space="preserve">Read min</x:t>
        </x:is>
      </x:c>
      <x:c r="E4" s="2" t="inlineStr">
        <x:is>
          <x:t xml:space="preserve">Ex min</x:t>
        </x:is>
      </x:c>
      <x:c r="F4" s="2" t="inlineStr">
        <x:is>
          <x:t xml:space="preserve">Actual total min</x:t>
        </x:is>
      </x:c>
      <x:c r="G4" s="2" t="inlineStr">
        <x:is>
          <x:t xml:space="preserve">Big takeaway</x:t>
        </x:is>
      </x:c>
      <x:c r="H4" s="2" t="inlineStr">
        <x:is>
          <x:t xml:space="preserve">Blocker</x:t>
        </x:is>
      </x:c>
      <x:c r="I4" s="2" t="inlineStr">
        <x:is>
          <x:t xml:space="preserve">Next action</x:t>
        </x:is>
      </x:c>
      <x:c r="J4" s="2" t="inlineStr">
        <x:is>
          <x:t xml:space="preserve">Mood / energy</x:t>
        </x:is>
      </x:c>
    </x:row>
    <x:row r="5">
      <x:c r="A5" s="40" t="n"/>
      <x:c r="B5" s="41">
        <x:f>IF(A5="","",A5-Protocol!$B$3+1)</x:f>
      </x:c>
      <x:c r="C5" s="42" t="n"/>
      <x:c r="D5" s="43" t="n"/>
      <x:c r="E5" s="43" t="n"/>
      <x:c r="F5" s="26">
        <x:f>IF(OR(D5&lt;&gt;"",E5&lt;&gt;""),SUM(D5:E5),"")</x:f>
      </x:c>
      <x:c r="G5" s="42" t="n"/>
      <x:c r="H5" s="42" t="n"/>
      <x:c r="I5" s="42" t="n"/>
      <x:c r="J5" s="42" t="n"/>
    </x:row>
    <x:row r="6">
      <x:c r="A6" s="40" t="n"/>
      <x:c r="B6" s="41">
        <x:f>IF(A6="","",A6-Protocol!$B$3+1)</x:f>
      </x:c>
      <x:c r="C6" s="42" t="n"/>
      <x:c r="D6" s="43" t="n"/>
      <x:c r="E6" s="43" t="n"/>
      <x:c r="F6" s="26">
        <x:f>IF(OR(D6&lt;&gt;"",E6&lt;&gt;""),SUM(D6:E6),"")</x:f>
      </x:c>
      <x:c r="G6" s="42" t="n"/>
      <x:c r="H6" s="42" t="n"/>
      <x:c r="I6" s="42" t="n"/>
      <x:c r="J6" s="42" t="n"/>
    </x:row>
    <x:row r="7">
      <x:c r="A7" s="40" t="n"/>
      <x:c r="B7" s="41">
        <x:f>IF(A7="","",A7-Protocol!$B$3+1)</x:f>
      </x:c>
      <x:c r="C7" s="42" t="n"/>
      <x:c r="D7" s="43" t="n"/>
      <x:c r="E7" s="43" t="n"/>
      <x:c r="F7" s="26">
        <x:f>IF(OR(D7&lt;&gt;"",E7&lt;&gt;""),SUM(D7:E7),"")</x:f>
      </x:c>
      <x:c r="G7" s="42" t="n"/>
      <x:c r="H7" s="42" t="n"/>
      <x:c r="I7" s="42" t="n"/>
      <x:c r="J7" s="42" t="n"/>
    </x:row>
    <x:row r="8">
      <x:c r="A8" s="40" t="n"/>
      <x:c r="B8" s="41">
        <x:f>IF(A8="","",A8-Protocol!$B$3+1)</x:f>
      </x:c>
      <x:c r="C8" s="42" t="n"/>
      <x:c r="D8" s="43" t="n"/>
      <x:c r="E8" s="43" t="n"/>
      <x:c r="F8" s="26">
        <x:f>IF(OR(D8&lt;&gt;"",E8&lt;&gt;""),SUM(D8:E8),"")</x:f>
      </x:c>
      <x:c r="G8" s="42" t="n"/>
      <x:c r="H8" s="42" t="n"/>
      <x:c r="I8" s="42" t="n"/>
      <x:c r="J8" s="42" t="n"/>
    </x:row>
    <x:row r="9">
      <x:c r="A9" s="40" t="n"/>
      <x:c r="B9" s="41">
        <x:f>IF(A9="","",A9-Protocol!$B$3+1)</x:f>
      </x:c>
      <x:c r="C9" s="42" t="n"/>
      <x:c r="D9" s="43" t="n"/>
      <x:c r="E9" s="43" t="n"/>
      <x:c r="F9" s="26">
        <x:f>IF(OR(D9&lt;&gt;"",E9&lt;&gt;""),SUM(D9:E9),"")</x:f>
      </x:c>
      <x:c r="G9" s="42" t="n"/>
      <x:c r="H9" s="42" t="n"/>
      <x:c r="I9" s="42" t="n"/>
      <x:c r="J9" s="42" t="n"/>
    </x:row>
    <x:row r="10">
      <x:c r="A10" s="40" t="n"/>
      <x:c r="B10" s="41">
        <x:f>IF(A10="","",A10-Protocol!$B$3+1)</x:f>
      </x:c>
      <x:c r="C10" s="42" t="n"/>
      <x:c r="D10" s="43" t="n"/>
      <x:c r="E10" s="43" t="n"/>
      <x:c r="F10" s="26">
        <x:f>IF(OR(D10&lt;&gt;"",E10&lt;&gt;""),SUM(D10:E10),"")</x:f>
      </x:c>
      <x:c r="G10" s="42" t="n"/>
      <x:c r="H10" s="42" t="n"/>
      <x:c r="I10" s="42" t="n"/>
      <x:c r="J10" s="42" t="n"/>
    </x:row>
    <x:row r="11">
      <x:c r="A11" s="40" t="n"/>
      <x:c r="B11" s="41">
        <x:f>IF(A11="","",A11-Protocol!$B$3+1)</x:f>
      </x:c>
      <x:c r="C11" s="42" t="n"/>
      <x:c r="D11" s="43" t="n"/>
      <x:c r="E11" s="43" t="n"/>
      <x:c r="F11" s="26">
        <x:f>IF(OR(D11&lt;&gt;"",E11&lt;&gt;""),SUM(D11:E11),"")</x:f>
      </x:c>
      <x:c r="G11" s="42" t="n"/>
      <x:c r="H11" s="42" t="n"/>
      <x:c r="I11" s="42" t="n"/>
      <x:c r="J11" s="42" t="n"/>
    </x:row>
    <x:row r="12">
      <x:c r="A12" s="40" t="n"/>
      <x:c r="B12" s="41">
        <x:f>IF(A12="","",A12-Protocol!$B$3+1)</x:f>
      </x:c>
      <x:c r="C12" s="42" t="n"/>
      <x:c r="D12" s="43" t="n"/>
      <x:c r="E12" s="43" t="n"/>
      <x:c r="F12" s="26">
        <x:f>IF(OR(D12&lt;&gt;"",E12&lt;&gt;""),SUM(D12:E12),"")</x:f>
      </x:c>
      <x:c r="G12" s="42" t="n"/>
      <x:c r="H12" s="42" t="n"/>
      <x:c r="I12" s="42" t="n"/>
      <x:c r="J12" s="42" t="n"/>
    </x:row>
    <x:row r="13">
      <x:c r="A13" s="40" t="n"/>
      <x:c r="B13" s="41">
        <x:f>IF(A13="","",A13-Protocol!$B$3+1)</x:f>
      </x:c>
      <x:c r="C13" s="42" t="n"/>
      <x:c r="D13" s="43" t="n"/>
      <x:c r="E13" s="43" t="n"/>
      <x:c r="F13" s="26">
        <x:f>IF(OR(D13&lt;&gt;"",E13&lt;&gt;""),SUM(D13:E13),"")</x:f>
      </x:c>
      <x:c r="G13" s="42" t="n"/>
      <x:c r="H13" s="42" t="n"/>
      <x:c r="I13" s="42" t="n"/>
      <x:c r="J13" s="42" t="n"/>
    </x:row>
    <x:row r="14">
      <x:c r="A14" s="40" t="n"/>
      <x:c r="B14" s="41">
        <x:f>IF(A14="","",A14-Protocol!$B$3+1)</x:f>
      </x:c>
      <x:c r="C14" s="42" t="n"/>
      <x:c r="D14" s="43" t="n"/>
      <x:c r="E14" s="43" t="n"/>
      <x:c r="F14" s="26">
        <x:f>IF(OR(D14&lt;&gt;"",E14&lt;&gt;""),SUM(D14:E14),"")</x:f>
      </x:c>
      <x:c r="G14" s="42" t="n"/>
      <x:c r="H14" s="42" t="n"/>
      <x:c r="I14" s="42" t="n"/>
      <x:c r="J14" s="42" t="n"/>
    </x:row>
    <x:row r="15">
      <x:c r="A15" s="40" t="n"/>
      <x:c r="B15" s="41">
        <x:f>IF(A15="","",A15-Protocol!$B$3+1)</x:f>
      </x:c>
      <x:c r="C15" s="42" t="n"/>
      <x:c r="D15" s="43" t="n"/>
      <x:c r="E15" s="43" t="n"/>
      <x:c r="F15" s="26">
        <x:f>IF(OR(D15&lt;&gt;"",E15&lt;&gt;""),SUM(D15:E15),"")</x:f>
      </x:c>
      <x:c r="G15" s="42" t="n"/>
      <x:c r="H15" s="42" t="n"/>
      <x:c r="I15" s="42" t="n"/>
      <x:c r="J15" s="42" t="n"/>
    </x:row>
    <x:row r="16">
      <x:c r="A16" s="40" t="n"/>
      <x:c r="B16" s="41">
        <x:f>IF(A16="","",A16-Protocol!$B$3+1)</x:f>
      </x:c>
      <x:c r="C16" s="42" t="n"/>
      <x:c r="D16" s="43" t="n"/>
      <x:c r="E16" s="43" t="n"/>
      <x:c r="F16" s="26">
        <x:f>IF(OR(D16&lt;&gt;"",E16&lt;&gt;""),SUM(D16:E16),"")</x:f>
      </x:c>
      <x:c r="G16" s="42" t="n"/>
      <x:c r="H16" s="42" t="n"/>
      <x:c r="I16" s="42" t="n"/>
      <x:c r="J16" s="42" t="n"/>
    </x:row>
    <x:row r="17">
      <x:c r="A17" s="40" t="n"/>
      <x:c r="B17" s="41">
        <x:f>IF(A17="","",A17-Protocol!$B$3+1)</x:f>
      </x:c>
      <x:c r="C17" s="42" t="n"/>
      <x:c r="D17" s="43" t="n"/>
      <x:c r="E17" s="43" t="n"/>
      <x:c r="F17" s="26">
        <x:f>IF(OR(D17&lt;&gt;"",E17&lt;&gt;""),SUM(D17:E17),"")</x:f>
      </x:c>
      <x:c r="G17" s="42" t="n"/>
      <x:c r="H17" s="42" t="n"/>
      <x:c r="I17" s="42" t="n"/>
      <x:c r="J17" s="42" t="n"/>
    </x:row>
    <x:row r="18">
      <x:c r="A18" s="40" t="n"/>
      <x:c r="B18" s="41">
        <x:f>IF(A18="","",A18-Protocol!$B$3+1)</x:f>
      </x:c>
      <x:c r="C18" s="42" t="n"/>
      <x:c r="D18" s="43" t="n"/>
      <x:c r="E18" s="43" t="n"/>
      <x:c r="F18" s="26">
        <x:f>IF(OR(D18&lt;&gt;"",E18&lt;&gt;""),SUM(D18:E18),"")</x:f>
      </x:c>
      <x:c r="G18" s="42" t="n"/>
      <x:c r="H18" s="42" t="n"/>
      <x:c r="I18" s="42" t="n"/>
      <x:c r="J18" s="42" t="n"/>
    </x:row>
    <x:row r="19">
      <x:c r="A19" s="40" t="n"/>
      <x:c r="B19" s="41">
        <x:f>IF(A19="","",A19-Protocol!$B$3+1)</x:f>
      </x:c>
      <x:c r="C19" s="42" t="n"/>
      <x:c r="D19" s="43" t="n"/>
      <x:c r="E19" s="43" t="n"/>
      <x:c r="F19" s="26">
        <x:f>IF(OR(D19&lt;&gt;"",E19&lt;&gt;""),SUM(D19:E19),"")</x:f>
      </x:c>
      <x:c r="G19" s="42" t="n"/>
      <x:c r="H19" s="42" t="n"/>
      <x:c r="I19" s="42" t="n"/>
      <x:c r="J19" s="42" t="n"/>
    </x:row>
    <x:row r="20">
      <x:c r="A20" s="40" t="n"/>
      <x:c r="B20" s="41">
        <x:f>IF(A20="","",A20-Protocol!$B$3+1)</x:f>
      </x:c>
      <x:c r="C20" s="42" t="n"/>
      <x:c r="D20" s="43" t="n"/>
      <x:c r="E20" s="43" t="n"/>
      <x:c r="F20" s="26">
        <x:f>IF(OR(D20&lt;&gt;"",E20&lt;&gt;""),SUM(D20:E20),"")</x:f>
      </x:c>
      <x:c r="G20" s="42" t="n"/>
      <x:c r="H20" s="42" t="n"/>
      <x:c r="I20" s="42" t="n"/>
      <x:c r="J20" s="42" t="n"/>
    </x:row>
    <x:row r="21">
      <x:c r="A21" s="40" t="n"/>
      <x:c r="B21" s="41">
        <x:f>IF(A21="","",A21-Protocol!$B$3+1)</x:f>
      </x:c>
      <x:c r="C21" s="42" t="n"/>
      <x:c r="D21" s="43" t="n"/>
      <x:c r="E21" s="43" t="n"/>
      <x:c r="F21" s="26">
        <x:f>IF(OR(D21&lt;&gt;"",E21&lt;&gt;""),SUM(D21:E21),"")</x:f>
      </x:c>
      <x:c r="G21" s="42" t="n"/>
      <x:c r="H21" s="42" t="n"/>
      <x:c r="I21" s="42" t="n"/>
      <x:c r="J21" s="42" t="n"/>
    </x:row>
    <x:row r="22">
      <x:c r="A22" s="40" t="n"/>
      <x:c r="B22" s="41">
        <x:f>IF(A22="","",A22-Protocol!$B$3+1)</x:f>
      </x:c>
      <x:c r="C22" s="42" t="n"/>
      <x:c r="D22" s="43" t="n"/>
      <x:c r="E22" s="43" t="n"/>
      <x:c r="F22" s="26">
        <x:f>IF(OR(D22&lt;&gt;"",E22&lt;&gt;""),SUM(D22:E22),"")</x:f>
      </x:c>
      <x:c r="G22" s="42" t="n"/>
      <x:c r="H22" s="42" t="n"/>
      <x:c r="I22" s="42" t="n"/>
      <x:c r="J22" s="42" t="n"/>
    </x:row>
    <x:row r="23">
      <x:c r="A23" s="40" t="n"/>
      <x:c r="B23" s="41">
        <x:f>IF(A23="","",A23-Protocol!$B$3+1)</x:f>
      </x:c>
      <x:c r="C23" s="42" t="n"/>
      <x:c r="D23" s="43" t="n"/>
      <x:c r="E23" s="43" t="n"/>
      <x:c r="F23" s="26">
        <x:f>IF(OR(D23&lt;&gt;"",E23&lt;&gt;""),SUM(D23:E23),"")</x:f>
      </x:c>
      <x:c r="G23" s="42" t="n"/>
      <x:c r="H23" s="42" t="n"/>
      <x:c r="I23" s="42" t="n"/>
      <x:c r="J23" s="42" t="n"/>
    </x:row>
    <x:row r="24">
      <x:c r="A24" s="40" t="n"/>
      <x:c r="B24" s="41">
        <x:f>IF(A24="","",A24-Protocol!$B$3+1)</x:f>
      </x:c>
      <x:c r="C24" s="42" t="n"/>
      <x:c r="D24" s="43" t="n"/>
      <x:c r="E24" s="43" t="n"/>
      <x:c r="F24" s="26">
        <x:f>IF(OR(D24&lt;&gt;"",E24&lt;&gt;""),SUM(D24:E24),"")</x:f>
      </x:c>
      <x:c r="G24" s="42" t="n"/>
      <x:c r="H24" s="42" t="n"/>
      <x:c r="I24" s="42" t="n"/>
      <x:c r="J24" s="42" t="n"/>
    </x:row>
    <x:row r="25">
      <x:c r="A25" s="40" t="n"/>
      <x:c r="B25" s="41">
        <x:f>IF(A25="","",A25-Protocol!$B$3+1)</x:f>
      </x:c>
      <x:c r="C25" s="42" t="n"/>
      <x:c r="D25" s="43" t="n"/>
      <x:c r="E25" s="43" t="n"/>
      <x:c r="F25" s="26">
        <x:f>IF(OR(D25&lt;&gt;"",E25&lt;&gt;""),SUM(D25:E25),"")</x:f>
      </x:c>
      <x:c r="G25" s="42" t="n"/>
      <x:c r="H25" s="42" t="n"/>
      <x:c r="I25" s="42" t="n"/>
      <x:c r="J25" s="42" t="n"/>
    </x:row>
    <x:row r="26">
      <x:c r="A26" s="40" t="n"/>
      <x:c r="B26" s="41">
        <x:f>IF(A26="","",A26-Protocol!$B$3+1)</x:f>
      </x:c>
      <x:c r="C26" s="42" t="n"/>
      <x:c r="D26" s="43" t="n"/>
      <x:c r="E26" s="43" t="n"/>
      <x:c r="F26" s="26">
        <x:f>IF(OR(D26&lt;&gt;"",E26&lt;&gt;""),SUM(D26:E26),"")</x:f>
      </x:c>
      <x:c r="G26" s="42" t="n"/>
      <x:c r="H26" s="42" t="n"/>
      <x:c r="I26" s="42" t="n"/>
      <x:c r="J26" s="42" t="n"/>
    </x:row>
    <x:row r="27">
      <x:c r="A27" s="40" t="n"/>
      <x:c r="B27" s="41">
        <x:f>IF(A27="","",A27-Protocol!$B$3+1)</x:f>
      </x:c>
      <x:c r="C27" s="42" t="n"/>
      <x:c r="D27" s="43" t="n"/>
      <x:c r="E27" s="43" t="n"/>
      <x:c r="F27" s="26">
        <x:f>IF(OR(D27&lt;&gt;"",E27&lt;&gt;""),SUM(D27:E27),"")</x:f>
      </x:c>
      <x:c r="G27" s="42" t="n"/>
      <x:c r="H27" s="42" t="n"/>
      <x:c r="I27" s="42" t="n"/>
      <x:c r="J27" s="42" t="n"/>
    </x:row>
    <x:row r="28">
      <x:c r="A28" s="40" t="n"/>
      <x:c r="B28" s="41">
        <x:f>IF(A28="","",A28-Protocol!$B$3+1)</x:f>
      </x:c>
      <x:c r="C28" s="42" t="n"/>
      <x:c r="D28" s="43" t="n"/>
      <x:c r="E28" s="43" t="n"/>
      <x:c r="F28" s="26">
        <x:f>IF(OR(D28&lt;&gt;"",E28&lt;&gt;""),SUM(D28:E28),"")</x:f>
      </x:c>
      <x:c r="G28" s="42" t="n"/>
      <x:c r="H28" s="42" t="n"/>
      <x:c r="I28" s="42" t="n"/>
      <x:c r="J28" s="42" t="n"/>
    </x:row>
    <x:row r="29">
      <x:c r="A29" s="40" t="n"/>
      <x:c r="B29" s="41">
        <x:f>IF(A29="","",A29-Protocol!$B$3+1)</x:f>
      </x:c>
      <x:c r="C29" s="42" t="n"/>
      <x:c r="D29" s="43" t="n"/>
      <x:c r="E29" s="43" t="n"/>
      <x:c r="F29" s="26">
        <x:f>IF(OR(D29&lt;&gt;"",E29&lt;&gt;""),SUM(D29:E29),"")</x:f>
      </x:c>
      <x:c r="G29" s="42" t="n"/>
      <x:c r="H29" s="42" t="n"/>
      <x:c r="I29" s="42" t="n"/>
      <x:c r="J29" s="42" t="n"/>
    </x:row>
    <x:row r="30">
      <x:c r="A30" s="40" t="n"/>
      <x:c r="B30" s="41">
        <x:f>IF(A30="","",A30-Protocol!$B$3+1)</x:f>
      </x:c>
      <x:c r="C30" s="42" t="n"/>
      <x:c r="D30" s="43" t="n"/>
      <x:c r="E30" s="43" t="n"/>
      <x:c r="F30" s="26">
        <x:f>IF(OR(D30&lt;&gt;"",E30&lt;&gt;""),SUM(D30:E30),"")</x:f>
      </x:c>
      <x:c r="G30" s="42" t="n"/>
      <x:c r="H30" s="42" t="n"/>
      <x:c r="I30" s="42" t="n"/>
      <x:c r="J30" s="42" t="n"/>
    </x:row>
    <x:row r="31">
      <x:c r="A31" s="40" t="n"/>
      <x:c r="B31" s="41">
        <x:f>IF(A31="","",A31-Protocol!$B$3+1)</x:f>
      </x:c>
      <x:c r="C31" s="42" t="n"/>
      <x:c r="D31" s="43" t="n"/>
      <x:c r="E31" s="43" t="n"/>
      <x:c r="F31" s="26">
        <x:f>IF(OR(D31&lt;&gt;"",E31&lt;&gt;""),SUM(D31:E31),"")</x:f>
      </x:c>
      <x:c r="G31" s="42" t="n"/>
      <x:c r="H31" s="42" t="n"/>
      <x:c r="I31" s="42" t="n"/>
      <x:c r="J31" s="42" t="n"/>
    </x:row>
    <x:row r="32">
      <x:c r="A32" s="40" t="n"/>
      <x:c r="B32" s="41">
        <x:f>IF(A32="","",A32-Protocol!$B$3+1)</x:f>
      </x:c>
      <x:c r="C32" s="42" t="n"/>
      <x:c r="D32" s="43" t="n"/>
      <x:c r="E32" s="43" t="n"/>
      <x:c r="F32" s="26">
        <x:f>IF(OR(D32&lt;&gt;"",E32&lt;&gt;""),SUM(D32:E32),"")</x:f>
      </x:c>
      <x:c r="G32" s="42" t="n"/>
      <x:c r="H32" s="42" t="n"/>
      <x:c r="I32" s="42" t="n"/>
      <x:c r="J32" s="42" t="n"/>
    </x:row>
    <x:row r="33">
      <x:c r="A33" s="40" t="n"/>
      <x:c r="B33" s="41">
        <x:f>IF(A33="","",A33-Protocol!$B$3+1)</x:f>
      </x:c>
      <x:c r="C33" s="42" t="n"/>
      <x:c r="D33" s="43" t="n"/>
      <x:c r="E33" s="43" t="n"/>
      <x:c r="F33" s="26">
        <x:f>IF(OR(D33&lt;&gt;"",E33&lt;&gt;""),SUM(D33:E33),"")</x:f>
      </x:c>
      <x:c r="G33" s="42" t="n"/>
      <x:c r="H33" s="42" t="n"/>
      <x:c r="I33" s="42" t="n"/>
      <x:c r="J33" s="42" t="n"/>
    </x:row>
    <x:row r="34">
      <x:c r="A34" s="40" t="n"/>
      <x:c r="B34" s="41">
        <x:f>IF(A34="","",A34-Protocol!$B$3+1)</x:f>
      </x:c>
      <x:c r="C34" s="42" t="n"/>
      <x:c r="D34" s="43" t="n"/>
      <x:c r="E34" s="43" t="n"/>
      <x:c r="F34" s="26">
        <x:f>IF(OR(D34&lt;&gt;"",E34&lt;&gt;""),SUM(D34:E34),"")</x:f>
      </x:c>
      <x:c r="G34" s="42" t="n"/>
      <x:c r="H34" s="42" t="n"/>
      <x:c r="I34" s="42" t="n"/>
      <x:c r="J34" s="42" t="n"/>
    </x:row>
    <x:row r="35">
      <x:c r="A35" s="40" t="n"/>
      <x:c r="B35" s="41">
        <x:f>IF(A35="","",A35-Protocol!$B$3+1)</x:f>
      </x:c>
      <x:c r="C35" s="42" t="n"/>
      <x:c r="D35" s="43" t="n"/>
      <x:c r="E35" s="43" t="n"/>
      <x:c r="F35" s="26">
        <x:f>IF(OR(D35&lt;&gt;"",E35&lt;&gt;""),SUM(D35:E35),"")</x:f>
      </x:c>
      <x:c r="G35" s="42" t="n"/>
      <x:c r="H35" s="42" t="n"/>
      <x:c r="I35" s="42" t="n"/>
      <x:c r="J35" s="42" t="n"/>
    </x:row>
    <x:row r="36">
      <x:c r="A36" s="40" t="n"/>
      <x:c r="B36" s="41">
        <x:f>IF(A36="","",A36-Protocol!$B$3+1)</x:f>
      </x:c>
      <x:c r="C36" s="42" t="n"/>
      <x:c r="D36" s="43" t="n"/>
      <x:c r="E36" s="43" t="n"/>
      <x:c r="F36" s="26">
        <x:f>IF(OR(D36&lt;&gt;"",E36&lt;&gt;""),SUM(D36:E36),"")</x:f>
      </x:c>
      <x:c r="G36" s="42" t="n"/>
      <x:c r="H36" s="42" t="n"/>
      <x:c r="I36" s="42" t="n"/>
      <x:c r="J36" s="42" t="n"/>
    </x:row>
    <x:row r="37">
      <x:c r="A37" s="40" t="n"/>
      <x:c r="B37" s="41">
        <x:f>IF(A37="","",A37-Protocol!$B$3+1)</x:f>
      </x:c>
      <x:c r="C37" s="42" t="n"/>
      <x:c r="D37" s="43" t="n"/>
      <x:c r="E37" s="43" t="n"/>
      <x:c r="F37" s="26">
        <x:f>IF(OR(D37&lt;&gt;"",E37&lt;&gt;""),SUM(D37:E37),"")</x:f>
      </x:c>
      <x:c r="G37" s="42" t="n"/>
      <x:c r="H37" s="42" t="n"/>
      <x:c r="I37" s="42" t="n"/>
      <x:c r="J37" s="42" t="n"/>
    </x:row>
    <x:row r="38">
      <x:c r="A38" s="40" t="n"/>
      <x:c r="B38" s="41">
        <x:f>IF(A38="","",A38-Protocol!$B$3+1)</x:f>
      </x:c>
      <x:c r="C38" s="42" t="n"/>
      <x:c r="D38" s="43" t="n"/>
      <x:c r="E38" s="43" t="n"/>
      <x:c r="F38" s="26">
        <x:f>IF(OR(D38&lt;&gt;"",E38&lt;&gt;""),SUM(D38:E38),"")</x:f>
      </x:c>
      <x:c r="G38" s="42" t="n"/>
      <x:c r="H38" s="42" t="n"/>
      <x:c r="I38" s="42" t="n"/>
      <x:c r="J38" s="42" t="n"/>
    </x:row>
    <x:row r="39">
      <x:c r="A39" s="40" t="n"/>
      <x:c r="B39" s="41">
        <x:f>IF(A39="","",A39-Protocol!$B$3+1)</x:f>
      </x:c>
      <x:c r="C39" s="42" t="n"/>
      <x:c r="D39" s="43" t="n"/>
      <x:c r="E39" s="43" t="n"/>
      <x:c r="F39" s="26">
        <x:f>IF(OR(D39&lt;&gt;"",E39&lt;&gt;""),SUM(D39:E39),"")</x:f>
      </x:c>
      <x:c r="G39" s="42" t="n"/>
      <x:c r="H39" s="42" t="n"/>
      <x:c r="I39" s="42" t="n"/>
      <x:c r="J39" s="42" t="n"/>
    </x:row>
    <x:row r="40">
      <x:c r="A40" s="40" t="n"/>
      <x:c r="B40" s="41">
        <x:f>IF(A40="","",A40-Protocol!$B$3+1)</x:f>
      </x:c>
      <x:c r="C40" s="42" t="n"/>
      <x:c r="D40" s="43" t="n"/>
      <x:c r="E40" s="43" t="n"/>
      <x:c r="F40" s="26">
        <x:f>IF(OR(D40&lt;&gt;"",E40&lt;&gt;""),SUM(D40:E40),"")</x:f>
      </x:c>
      <x:c r="G40" s="42" t="n"/>
      <x:c r="H40" s="42" t="n"/>
      <x:c r="I40" s="42" t="n"/>
      <x:c r="J40" s="42" t="n"/>
    </x:row>
    <x:row r="41">
      <x:c r="A41" s="40" t="n"/>
      <x:c r="B41" s="41">
        <x:f>IF(A41="","",A41-Protocol!$B$3+1)</x:f>
      </x:c>
      <x:c r="C41" s="42" t="n"/>
      <x:c r="D41" s="43" t="n"/>
      <x:c r="E41" s="43" t="n"/>
      <x:c r="F41" s="26">
        <x:f>IF(OR(D41&lt;&gt;"",E41&lt;&gt;""),SUM(D41:E41),"")</x:f>
      </x:c>
      <x:c r="G41" s="42" t="n"/>
      <x:c r="H41" s="42" t="n"/>
      <x:c r="I41" s="42" t="n"/>
      <x:c r="J41" s="42" t="n"/>
    </x:row>
    <x:row r="42">
      <x:c r="A42" s="40" t="n"/>
      <x:c r="B42" s="41">
        <x:f>IF(A42="","",A42-Protocol!$B$3+1)</x:f>
      </x:c>
      <x:c r="C42" s="42" t="n"/>
      <x:c r="D42" s="43" t="n"/>
      <x:c r="E42" s="43" t="n"/>
      <x:c r="F42" s="26">
        <x:f>IF(OR(D42&lt;&gt;"",E42&lt;&gt;""),SUM(D42:E42),"")</x:f>
      </x:c>
      <x:c r="G42" s="42" t="n"/>
      <x:c r="H42" s="42" t="n"/>
      <x:c r="I42" s="42" t="n"/>
      <x:c r="J42" s="42" t="n"/>
    </x:row>
    <x:row r="43">
      <x:c r="A43" s="40" t="n"/>
      <x:c r="B43" s="41">
        <x:f>IF(A43="","",A43-Protocol!$B$3+1)</x:f>
      </x:c>
      <x:c r="C43" s="42" t="n"/>
      <x:c r="D43" s="43" t="n"/>
      <x:c r="E43" s="43" t="n"/>
      <x:c r="F43" s="26">
        <x:f>IF(OR(D43&lt;&gt;"",E43&lt;&gt;""),SUM(D43:E43),"")</x:f>
      </x:c>
      <x:c r="G43" s="42" t="n"/>
      <x:c r="H43" s="42" t="n"/>
      <x:c r="I43" s="42" t="n"/>
      <x:c r="J43" s="42" t="n"/>
    </x:row>
    <x:row r="44">
      <x:c r="A44" s="40" t="n"/>
      <x:c r="B44" s="41">
        <x:f>IF(A44="","",A44-Protocol!$B$3+1)</x:f>
      </x:c>
      <x:c r="C44" s="42" t="n"/>
      <x:c r="D44" s="43" t="n"/>
      <x:c r="E44" s="43" t="n"/>
      <x:c r="F44" s="26">
        <x:f>IF(OR(D44&lt;&gt;"",E44&lt;&gt;""),SUM(D44:E44),"")</x:f>
      </x:c>
      <x:c r="G44" s="42" t="n"/>
      <x:c r="H44" s="42" t="n"/>
      <x:c r="I44" s="42" t="n"/>
      <x:c r="J44" s="42" t="n"/>
    </x:row>
    <x:row r="45">
      <x:c r="A45" s="40" t="n"/>
      <x:c r="B45" s="41">
        <x:f>IF(A45="","",A45-Protocol!$B$3+1)</x:f>
      </x:c>
      <x:c r="C45" s="42" t="n"/>
      <x:c r="D45" s="43" t="n"/>
      <x:c r="E45" s="43" t="n"/>
      <x:c r="F45" s="26">
        <x:f>IF(OR(D45&lt;&gt;"",E45&lt;&gt;""),SUM(D45:E45),"")</x:f>
      </x:c>
      <x:c r="G45" s="42" t="n"/>
      <x:c r="H45" s="42" t="n"/>
      <x:c r="I45" s="42" t="n"/>
      <x:c r="J45" s="42" t="n"/>
    </x:row>
    <x:row r="46">
      <x:c r="A46" s="40" t="n"/>
      <x:c r="B46" s="41">
        <x:f>IF(A46="","",A46-Protocol!$B$3+1)</x:f>
      </x:c>
      <x:c r="C46" s="42" t="n"/>
      <x:c r="D46" s="43" t="n"/>
      <x:c r="E46" s="43" t="n"/>
      <x:c r="F46" s="26">
        <x:f>IF(OR(D46&lt;&gt;"",E46&lt;&gt;""),SUM(D46:E46),"")</x:f>
      </x:c>
      <x:c r="G46" s="42" t="n"/>
      <x:c r="H46" s="42" t="n"/>
      <x:c r="I46" s="42" t="n"/>
      <x:c r="J46" s="42" t="n"/>
    </x:row>
    <x:row r="47">
      <x:c r="A47" s="40" t="n"/>
      <x:c r="B47" s="41">
        <x:f>IF(A47="","",A47-Protocol!$B$3+1)</x:f>
      </x:c>
      <x:c r="C47" s="42" t="n"/>
      <x:c r="D47" s="43" t="n"/>
      <x:c r="E47" s="43" t="n"/>
      <x:c r="F47" s="26">
        <x:f>IF(OR(D47&lt;&gt;"",E47&lt;&gt;""),SUM(D47:E47),"")</x:f>
      </x:c>
      <x:c r="G47" s="42" t="n"/>
      <x:c r="H47" s="42" t="n"/>
      <x:c r="I47" s="42" t="n"/>
      <x:c r="J47" s="42" t="n"/>
    </x:row>
    <x:row r="48">
      <x:c r="A48" s="40" t="n"/>
      <x:c r="B48" s="41">
        <x:f>IF(A48="","",A48-Protocol!$B$3+1)</x:f>
      </x:c>
      <x:c r="C48" s="42" t="n"/>
      <x:c r="D48" s="43" t="n"/>
      <x:c r="E48" s="43" t="n"/>
      <x:c r="F48" s="26">
        <x:f>IF(OR(D48&lt;&gt;"",E48&lt;&gt;""),SUM(D48:E48),"")</x:f>
      </x:c>
      <x:c r="G48" s="42" t="n"/>
      <x:c r="H48" s="42" t="n"/>
      <x:c r="I48" s="42" t="n"/>
      <x:c r="J48" s="42" t="n"/>
    </x:row>
    <x:row r="49">
      <x:c r="A49" s="40" t="n"/>
      <x:c r="B49" s="41">
        <x:f>IF(A49="","",A49-Protocol!$B$3+1)</x:f>
      </x:c>
      <x:c r="C49" s="42" t="n"/>
      <x:c r="D49" s="43" t="n"/>
      <x:c r="E49" s="43" t="n"/>
      <x:c r="F49" s="26">
        <x:f>IF(OR(D49&lt;&gt;"",E49&lt;&gt;""),SUM(D49:E49),"")</x:f>
      </x:c>
      <x:c r="G49" s="42" t="n"/>
      <x:c r="H49" s="42" t="n"/>
      <x:c r="I49" s="42" t="n"/>
      <x:c r="J49" s="42" t="n"/>
    </x:row>
    <x:row r="50">
      <x:c r="A50" s="40" t="n"/>
      <x:c r="B50" s="41">
        <x:f>IF(A50="","",A50-Protocol!$B$3+1)</x:f>
      </x:c>
      <x:c r="C50" s="42" t="n"/>
      <x:c r="D50" s="43" t="n"/>
      <x:c r="E50" s="43" t="n"/>
      <x:c r="F50" s="26">
        <x:f>IF(OR(D50&lt;&gt;"",E50&lt;&gt;""),SUM(D50:E50),"")</x:f>
      </x:c>
      <x:c r="G50" s="42" t="n"/>
      <x:c r="H50" s="42" t="n"/>
      <x:c r="I50" s="42" t="n"/>
      <x:c r="J50" s="42" t="n"/>
    </x:row>
    <x:row r="51">
      <x:c r="A51" s="40" t="n"/>
      <x:c r="B51" s="41">
        <x:f>IF(A51="","",A51-Protocol!$B$3+1)</x:f>
      </x:c>
      <x:c r="C51" s="42" t="n"/>
      <x:c r="D51" s="43" t="n"/>
      <x:c r="E51" s="43" t="n"/>
      <x:c r="F51" s="26">
        <x:f>IF(OR(D51&lt;&gt;"",E51&lt;&gt;""),SUM(D51:E51),"")</x:f>
      </x:c>
      <x:c r="G51" s="42" t="n"/>
      <x:c r="H51" s="42" t="n"/>
      <x:c r="I51" s="42" t="n"/>
      <x:c r="J51" s="42" t="n"/>
    </x:row>
    <x:row r="52">
      <x:c r="A52" s="40" t="n"/>
      <x:c r="B52" s="41">
        <x:f>IF(A52="","",A52-Protocol!$B$3+1)</x:f>
      </x:c>
      <x:c r="C52" s="42" t="n"/>
      <x:c r="D52" s="43" t="n"/>
      <x:c r="E52" s="43" t="n"/>
      <x:c r="F52" s="26">
        <x:f>IF(OR(D52&lt;&gt;"",E52&lt;&gt;""),SUM(D52:E52),"")</x:f>
      </x:c>
      <x:c r="G52" s="42" t="n"/>
      <x:c r="H52" s="42" t="n"/>
      <x:c r="I52" s="42" t="n"/>
      <x:c r="J52" s="42" t="n"/>
    </x:row>
    <x:row r="53">
      <x:c r="A53" s="40" t="n"/>
      <x:c r="B53" s="41">
        <x:f>IF(A53="","",A53-Protocol!$B$3+1)</x:f>
      </x:c>
      <x:c r="C53" s="42" t="n"/>
      <x:c r="D53" s="43" t="n"/>
      <x:c r="E53" s="43" t="n"/>
      <x:c r="F53" s="26">
        <x:f>IF(OR(D53&lt;&gt;"",E53&lt;&gt;""),SUM(D53:E53),"")</x:f>
      </x:c>
      <x:c r="G53" s="42" t="n"/>
      <x:c r="H53" s="42" t="n"/>
      <x:c r="I53" s="42" t="n"/>
      <x:c r="J53" s="42" t="n"/>
    </x:row>
    <x:row r="54">
      <x:c r="A54" s="40" t="n"/>
      <x:c r="B54" s="41">
        <x:f>IF(A54="","",A54-Protocol!$B$3+1)</x:f>
      </x:c>
      <x:c r="C54" s="42" t="n"/>
      <x:c r="D54" s="43" t="n"/>
      <x:c r="E54" s="43" t="n"/>
      <x:c r="F54" s="26">
        <x:f>IF(OR(D54&lt;&gt;"",E54&lt;&gt;""),SUM(D54:E54),"")</x:f>
      </x:c>
      <x:c r="G54" s="42" t="n"/>
      <x:c r="H54" s="42" t="n"/>
      <x:c r="I54" s="42" t="n"/>
      <x:c r="J54" s="42" t="n"/>
    </x:row>
    <x:row r="55">
      <x:c r="A55" s="40" t="n"/>
      <x:c r="B55" s="41">
        <x:f>IF(A55="","",A55-Protocol!$B$3+1)</x:f>
      </x:c>
      <x:c r="C55" s="42" t="n"/>
      <x:c r="D55" s="43" t="n"/>
      <x:c r="E55" s="43" t="n"/>
      <x:c r="F55" s="26">
        <x:f>IF(OR(D55&lt;&gt;"",E55&lt;&gt;""),SUM(D55:E55),"")</x:f>
      </x:c>
      <x:c r="G55" s="42" t="n"/>
      <x:c r="H55" s="42" t="n"/>
      <x:c r="I55" s="42" t="n"/>
      <x:c r="J55" s="42" t="n"/>
    </x:row>
    <x:row r="56">
      <x:c r="A56" s="40" t="n"/>
      <x:c r="B56" s="41">
        <x:f>IF(A56="","",A56-Protocol!$B$3+1)</x:f>
      </x:c>
      <x:c r="C56" s="42" t="n"/>
      <x:c r="D56" s="43" t="n"/>
      <x:c r="E56" s="43" t="n"/>
      <x:c r="F56" s="26">
        <x:f>IF(OR(D56&lt;&gt;"",E56&lt;&gt;""),SUM(D56:E56),"")</x:f>
      </x:c>
      <x:c r="G56" s="42" t="n"/>
      <x:c r="H56" s="42" t="n"/>
      <x:c r="I56" s="42" t="n"/>
      <x:c r="J56" s="42" t="n"/>
    </x:row>
    <x:row r="57">
      <x:c r="A57" s="40" t="n"/>
      <x:c r="B57" s="41">
        <x:f>IF(A57="","",A57-Protocol!$B$3+1)</x:f>
      </x:c>
      <x:c r="C57" s="42" t="n"/>
      <x:c r="D57" s="43" t="n"/>
      <x:c r="E57" s="43" t="n"/>
      <x:c r="F57" s="26">
        <x:f>IF(OR(D57&lt;&gt;"",E57&lt;&gt;""),SUM(D57:E57),"")</x:f>
      </x:c>
      <x:c r="G57" s="42" t="n"/>
      <x:c r="H57" s="42" t="n"/>
      <x:c r="I57" s="42" t="n"/>
      <x:c r="J57" s="42" t="n"/>
    </x:row>
    <x:row r="58">
      <x:c r="A58" s="40" t="n"/>
      <x:c r="B58" s="41">
        <x:f>IF(A58="","",A58-Protocol!$B$3+1)</x:f>
      </x:c>
      <x:c r="C58" s="42" t="n"/>
      <x:c r="D58" s="43" t="n"/>
      <x:c r="E58" s="43" t="n"/>
      <x:c r="F58" s="26">
        <x:f>IF(OR(D58&lt;&gt;"",E58&lt;&gt;""),SUM(D58:E58),"")</x:f>
      </x:c>
      <x:c r="G58" s="42" t="n"/>
      <x:c r="H58" s="42" t="n"/>
      <x:c r="I58" s="42" t="n"/>
      <x:c r="J58" s="42" t="n"/>
    </x:row>
    <x:row r="59">
      <x:c r="A59" s="40" t="n"/>
      <x:c r="B59" s="41">
        <x:f>IF(A59="","",A59-Protocol!$B$3+1)</x:f>
      </x:c>
      <x:c r="C59" s="42" t="n"/>
      <x:c r="D59" s="43" t="n"/>
      <x:c r="E59" s="43" t="n"/>
      <x:c r="F59" s="26">
        <x:f>IF(OR(D59&lt;&gt;"",E59&lt;&gt;""),SUM(D59:E59),"")</x:f>
      </x:c>
      <x:c r="G59" s="42" t="n"/>
      <x:c r="H59" s="42" t="n"/>
      <x:c r="I59" s="42" t="n"/>
      <x:c r="J59" s="42" t="n"/>
    </x:row>
    <x:row r="60">
      <x:c r="A60" s="40" t="n"/>
      <x:c r="B60" s="41">
        <x:f>IF(A60="","",A60-Protocol!$B$3+1)</x:f>
      </x:c>
      <x:c r="C60" s="42" t="n"/>
      <x:c r="D60" s="43" t="n"/>
      <x:c r="E60" s="43" t="n"/>
      <x:c r="F60" s="26">
        <x:f>IF(OR(D60&lt;&gt;"",E60&lt;&gt;""),SUM(D60:E60),"")</x:f>
      </x:c>
      <x:c r="G60" s="42" t="n"/>
      <x:c r="H60" s="42" t="n"/>
      <x:c r="I60" s="42" t="n"/>
      <x:c r="J60" s="42" t="n"/>
    </x:row>
    <x:row r="61">
      <x:c r="A61" s="40" t="n"/>
      <x:c r="B61" s="41">
        <x:f>IF(A61="","",A61-Protocol!$B$3+1)</x:f>
      </x:c>
      <x:c r="C61" s="42" t="n"/>
      <x:c r="D61" s="43" t="n"/>
      <x:c r="E61" s="43" t="n"/>
      <x:c r="F61" s="26">
        <x:f>IF(OR(D61&lt;&gt;"",E61&lt;&gt;""),SUM(D61:E61),"")</x:f>
      </x:c>
      <x:c r="G61" s="42" t="n"/>
      <x:c r="H61" s="42" t="n"/>
      <x:c r="I61" s="42" t="n"/>
      <x:c r="J61" s="42" t="n"/>
    </x:row>
    <x:row r="62">
      <x:c r="A62" s="40" t="n"/>
      <x:c r="B62" s="41">
        <x:f>IF(A62="","",A62-Protocol!$B$3+1)</x:f>
      </x:c>
      <x:c r="C62" s="42" t="n"/>
      <x:c r="D62" s="43" t="n"/>
      <x:c r="E62" s="43" t="n"/>
      <x:c r="F62" s="26">
        <x:f>IF(OR(D62&lt;&gt;"",E62&lt;&gt;""),SUM(D62:E62),"")</x:f>
      </x:c>
      <x:c r="G62" s="42" t="n"/>
      <x:c r="H62" s="42" t="n"/>
      <x:c r="I62" s="42" t="n"/>
      <x:c r="J62" s="42" t="n"/>
    </x:row>
    <x:row r="63">
      <x:c r="A63" s="40" t="n"/>
      <x:c r="B63" s="41">
        <x:f>IF(A63="","",A63-Protocol!$B$3+1)</x:f>
      </x:c>
      <x:c r="C63" s="42" t="n"/>
      <x:c r="D63" s="43" t="n"/>
      <x:c r="E63" s="43" t="n"/>
      <x:c r="F63" s="26">
        <x:f>IF(OR(D63&lt;&gt;"",E63&lt;&gt;""),SUM(D63:E63),"")</x:f>
      </x:c>
      <x:c r="G63" s="42" t="n"/>
      <x:c r="H63" s="42" t="n"/>
      <x:c r="I63" s="42" t="n"/>
      <x:c r="J63" s="42" t="n"/>
    </x:row>
    <x:row r="64">
      <x:c r="A64" s="40" t="n"/>
      <x:c r="B64" s="41">
        <x:f>IF(A64="","",A64-Protocol!$B$3+1)</x:f>
      </x:c>
      <x:c r="C64" s="42" t="n"/>
      <x:c r="D64" s="43" t="n"/>
      <x:c r="E64" s="43" t="n"/>
      <x:c r="F64" s="26">
        <x:f>IF(OR(D64&lt;&gt;"",E64&lt;&gt;""),SUM(D64:E64),"")</x:f>
      </x:c>
      <x:c r="G64" s="42" t="n"/>
      <x:c r="H64" s="42" t="n"/>
      <x:c r="I64" s="42" t="n"/>
      <x:c r="J64" s="42" t="n"/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3206f1c895054e6c"/>
  </x:tableParts>
</x:worksheet>
</file>