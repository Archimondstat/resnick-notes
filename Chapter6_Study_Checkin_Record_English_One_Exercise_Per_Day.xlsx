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2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<sst xmlns="http://schemas.openxmlformats.org/spreadsheetml/2006/main" count="605" uniqueCount="269">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</sst>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.0%"/>
    <numFmt numFmtId="177" formatCode="yyyy\-mm\-dd"/>
    <numFmt numFmtId="41" formatCode="_ * #,##0_ ;_ * \-#,##0_ ;_ * &quot;-&quot;_ ;_ @_ "/>
    <numFmt numFmtId="43" formatCode="_ * #,##0.00_ ;_ * \-#,##0.00_ ;_ * &quot;-&quot;??_ ;_ @_ "/>
    <numFmt numFmtId="178" formatCode="yyyy\-mm\-dd\ hh:mm"/>
  </numFmts>
  <fonts count="30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sz val="11"/>
      <color rgb="FF666666"/>
      <name val="Calibri"/>
      <charset val="134"/>
    </font>
    <font>
      <b/>
      <sz val="11"/>
      <name val="Calibri"/>
      <charset val="134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1" fillId="11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2" fillId="12" borderId="6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28" fillId="40" borderId="10" applyNumberFormat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15" fillId="3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7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7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7" fillId="0" borderId="1" xfId="49" applyBorder="1" applyAlignment="1">
      <alignment horizontal="center" vertical="center"/>
    </xf>
    <xf numFmtId="0" fontId="7" fillId="0" borderId="1" xfId="49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8" fillId="0" borderId="1" xfId="49" applyFont="1" applyBorder="1" applyAlignment="1">
      <alignment horizontal="center" vertical="center"/>
    </xf>
    <xf numFmtId="0" fontId="8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7" fontId="5" fillId="4" borderId="1" xfId="49" applyNumberFormat="1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8" fontId="7" fillId="3" borderId="1" xfId="49" applyNumberForma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178" fontId="7" fillId="6" borderId="1" xfId="49" applyNumberFormat="1" applyFill="1" applyBorder="1" applyAlignment="1">
      <alignment horizontal="center" vertical="center"/>
    </xf>
    <xf numFmtId="0" fontId="7" fillId="3" borderId="1" xfId="49" applyFill="1" applyBorder="1" applyAlignment="1">
      <alignment horizontal="center" vertical="center"/>
    </xf>
    <xf numFmtId="177" fontId="6" fillId="4" borderId="1" xfId="49" applyNumberFormat="1" applyFont="1" applyFill="1" applyBorder="1" applyAlignment="1">
      <alignment horizontal="center" vertical="center"/>
    </xf>
    <xf numFmtId="0" fontId="7" fillId="3" borderId="1" xfId="49" applyFill="1" applyBorder="1" applyAlignment="1">
      <alignment horizontal="left" vertical="center" wrapText="1"/>
    </xf>
    <xf numFmtId="0" fontId="7" fillId="7" borderId="1" xfId="49" applyFill="1" applyBorder="1" applyAlignment="1">
      <alignment horizontal="center" vertical="center"/>
    </xf>
    <xf numFmtId="0" fontId="7" fillId="6" borderId="1" xfId="49" applyFill="1" applyBorder="1" applyAlignment="1">
      <alignment horizontal="center" vertical="center"/>
    </xf>
    <xf numFmtId="0" fontId="4" fillId="3" borderId="0" xfId="49" applyFont="1" applyFill="1"/>
    <xf numFmtId="177" fontId="4" fillId="3" borderId="0" xfId="49" applyNumberFormat="1" applyFont="1" applyFill="1"/>
    <xf numFmtId="0" fontId="3" fillId="8" borderId="0" xfId="49" applyFont="1" applyFill="1"/>
    <xf numFmtId="0" fontId="7" fillId="0" borderId="0" xfId="49" applyAlignment="1">
      <alignment horizontal="left" vertical="center" wrapText="1"/>
    </xf>
    <xf numFmtId="0" fontId="9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6" fontId="6" fillId="9" borderId="0" xfId="49" applyNumberFormat="1" applyFont="1" applyFill="1" applyAlignment="1">
      <alignment horizontal="center" vertical="center"/>
    </xf>
    <xf numFmtId="0" fontId="7" fillId="0" borderId="0" xfId="49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7" fillId="9" borderId="1" xfId="49" applyFill="1" applyBorder="1" applyAlignment="1">
      <alignment horizontal="left" vertical="center" wrapText="1"/>
    </xf>
    <xf numFmtId="0" fontId="7" fillId="4" borderId="1" xfId="49" applyFill="1" applyBorder="1" applyAlignment="1">
      <alignment horizontal="center" vertical="center"/>
    </xf>
    <xf numFmtId="0" fontId="7" fillId="7" borderId="1" xfId="49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21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34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177.142857140529</v>
      </c>
    </row>
    <row r="8" ht="24" customHeight="1" spans="1:4">
      <c r="A8" s="36" t="s">
        <v>12</v>
      </c>
      <c r="B8" s="38">
        <f>COUNTIFS('Unit Plan'!C5:C48,"Exercise",'Unit Plan'!O5:O48,"&lt;&gt;")</f>
        <v>21</v>
      </c>
      <c r="C8" s="36" t="s">
        <v>13</v>
      </c>
      <c r="D8" s="38">
        <f>COUNTIF('Daily Log'!A5:A64,"&lt;&gt;")</f>
        <v>6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0.772727272727273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13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abSelected="1" topLeftCell="H29" workbookViewId="0">
      <selection activeCell="Q38" sqref="Q38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479.999999951106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119.999999951106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21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>
        <v>46121.5833333333</v>
      </c>
      <c r="O12" s="24">
        <v>46121.75</v>
      </c>
      <c r="P12" s="8">
        <f t="shared" si="1"/>
        <v>240.000000048894</v>
      </c>
      <c r="Q12" s="30" t="s">
        <v>21</v>
      </c>
      <c r="R12" s="28">
        <f t="shared" si="2"/>
        <v>46123</v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21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>
        <v>46123</v>
      </c>
      <c r="O14" s="24">
        <v>46123</v>
      </c>
      <c r="P14" s="8">
        <f t="shared" si="1"/>
        <v>0</v>
      </c>
      <c r="Q14" s="30" t="s">
        <v>21</v>
      </c>
      <c r="R14" s="28">
        <f t="shared" si="2"/>
        <v>46125</v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>
        <v>46124</v>
      </c>
      <c r="O15" s="24">
        <v>46126</v>
      </c>
      <c r="P15" s="8">
        <f t="shared" si="1"/>
        <v>2880</v>
      </c>
      <c r="Q15" s="30" t="s">
        <v>21</v>
      </c>
      <c r="R15" s="28">
        <f t="shared" si="2"/>
        <v>46128</v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4"/>
      <c r="O16" s="24"/>
      <c r="P16" s="25" t="str">
        <f t="shared" si="1"/>
        <v/>
      </c>
      <c r="Q16" s="27" t="s">
        <v>21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21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21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21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21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21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21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>
        <v>46143</v>
      </c>
      <c r="O23" s="24">
        <v>46143</v>
      </c>
      <c r="P23" s="8">
        <f t="shared" si="1"/>
        <v>0</v>
      </c>
      <c r="Q23" s="30" t="s">
        <v>21</v>
      </c>
      <c r="R23" s="28">
        <f t="shared" si="2"/>
        <v>46145</v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>
        <v>46144</v>
      </c>
      <c r="O24" s="24">
        <v>46144</v>
      </c>
      <c r="P24" s="8">
        <f t="shared" si="1"/>
        <v>0</v>
      </c>
      <c r="Q24" s="30" t="s">
        <v>21</v>
      </c>
      <c r="R24" s="28">
        <f t="shared" si="2"/>
        <v>46146</v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>
        <v>46145</v>
      </c>
      <c r="O25" s="24">
        <v>46145</v>
      </c>
      <c r="P25" s="8">
        <f t="shared" si="1"/>
        <v>0</v>
      </c>
      <c r="Q25" s="30" t="s">
        <v>21</v>
      </c>
      <c r="R25" s="28">
        <f t="shared" si="2"/>
        <v>46147</v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>
        <v>46147</v>
      </c>
      <c r="O26" s="24">
        <v>46147</v>
      </c>
      <c r="P26" s="8">
        <f t="shared" si="1"/>
        <v>0</v>
      </c>
      <c r="Q26" s="30" t="s">
        <v>21</v>
      </c>
      <c r="R26" s="28">
        <f t="shared" si="2"/>
        <v>46149</v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>
        <v>46148</v>
      </c>
      <c r="O27" s="24">
        <v>46148</v>
      </c>
      <c r="P27" s="8">
        <f t="shared" si="1"/>
        <v>0</v>
      </c>
      <c r="Q27" s="30" t="s">
        <v>21</v>
      </c>
      <c r="R27" s="28">
        <f t="shared" si="2"/>
        <v>46150</v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>
        <v>46149</v>
      </c>
      <c r="O28" s="24">
        <v>46149</v>
      </c>
      <c r="P28" s="8">
        <f t="shared" si="1"/>
        <v>0</v>
      </c>
      <c r="Q28" s="30" t="s">
        <v>21</v>
      </c>
      <c r="R28" s="28">
        <f t="shared" si="2"/>
        <v>46151</v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>
        <v>46150</v>
      </c>
      <c r="O29" s="24">
        <v>46150</v>
      </c>
      <c r="P29" s="8">
        <f t="shared" si="1"/>
        <v>0</v>
      </c>
      <c r="Q29" s="30" t="s">
        <v>21</v>
      </c>
      <c r="R29" s="28">
        <f t="shared" si="2"/>
        <v>46152</v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>
        <v>46151</v>
      </c>
      <c r="O30" s="24">
        <v>46151</v>
      </c>
      <c r="P30" s="8">
        <f t="shared" si="1"/>
        <v>0</v>
      </c>
      <c r="Q30" s="30" t="s">
        <v>21</v>
      </c>
      <c r="R30" s="28">
        <f t="shared" si="2"/>
        <v>46153</v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>
        <v>46151</v>
      </c>
      <c r="O31" s="24">
        <v>46151</v>
      </c>
      <c r="P31" s="8">
        <f t="shared" si="1"/>
        <v>0</v>
      </c>
      <c r="Q31" s="30" t="s">
        <v>21</v>
      </c>
      <c r="R31" s="28">
        <f t="shared" si="2"/>
        <v>46153</v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>
        <v>46152</v>
      </c>
      <c r="O32" s="24">
        <v>46152</v>
      </c>
      <c r="P32" s="8">
        <f t="shared" si="1"/>
        <v>0</v>
      </c>
      <c r="Q32" s="30" t="s">
        <v>21</v>
      </c>
      <c r="R32" s="28">
        <f t="shared" si="2"/>
        <v>46154</v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>
        <v>46153</v>
      </c>
      <c r="O33" s="24">
        <v>46153</v>
      </c>
      <c r="P33" s="8">
        <f t="shared" si="1"/>
        <v>0</v>
      </c>
      <c r="Q33" s="30" t="s">
        <v>21</v>
      </c>
      <c r="R33" s="28">
        <f t="shared" si="2"/>
        <v>46155</v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>
        <v>46154</v>
      </c>
      <c r="O34" s="24">
        <v>46154</v>
      </c>
      <c r="P34" s="8">
        <f t="shared" si="1"/>
        <v>0</v>
      </c>
      <c r="Q34" s="30" t="s">
        <v>21</v>
      </c>
      <c r="R34" s="28">
        <f t="shared" si="2"/>
        <v>46156</v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>
        <v>46154</v>
      </c>
      <c r="O35" s="24">
        <v>46154</v>
      </c>
      <c r="P35" s="8">
        <f t="shared" si="1"/>
        <v>0</v>
      </c>
      <c r="Q35" s="30" t="s">
        <v>21</v>
      </c>
      <c r="R35" s="28">
        <f t="shared" si="2"/>
        <v>46156</v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>
        <v>46154</v>
      </c>
      <c r="O36" s="24">
        <v>46154</v>
      </c>
      <c r="P36" s="8">
        <f t="shared" si="1"/>
        <v>0</v>
      </c>
      <c r="Q36" s="30" t="s">
        <v>21</v>
      </c>
      <c r="R36" s="28">
        <f t="shared" si="2"/>
        <v>46156</v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>
        <v>46159</v>
      </c>
      <c r="O37" s="24">
        <v>46159</v>
      </c>
      <c r="P37" s="8">
        <f t="shared" si="1"/>
        <v>0</v>
      </c>
      <c r="Q37" s="30" t="s">
        <v>21</v>
      </c>
      <c r="R37" s="28">
        <f t="shared" si="2"/>
        <v>46161</v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>
        <v>46160</v>
      </c>
      <c r="O38" s="24">
        <v>46160</v>
      </c>
      <c r="P38" s="8">
        <f t="shared" si="1"/>
        <v>0</v>
      </c>
      <c r="Q38" s="30" t="s">
        <v>21</v>
      </c>
      <c r="R38" s="28">
        <f t="shared" si="2"/>
        <v>46162</v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/>
      <c r="O39" s="24"/>
      <c r="P39" s="8" t="str">
        <f t="shared" si="1"/>
        <v/>
      </c>
      <c r="Q39" s="30" t="s">
        <v>30</v>
      </c>
      <c r="R39" s="28" t="str">
        <f t="shared" si="2"/>
        <v/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/>
      <c r="O40" s="24"/>
      <c r="P40" s="8" t="str">
        <f t="shared" si="1"/>
        <v/>
      </c>
      <c r="Q40" s="30" t="s">
        <v>30</v>
      </c>
      <c r="R40" s="28" t="str">
        <f t="shared" si="2"/>
        <v/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/>
      <c r="O41" s="24"/>
      <c r="P41" s="8" t="str">
        <f t="shared" si="1"/>
        <v/>
      </c>
      <c r="Q41" s="30" t="s">
        <v>30</v>
      </c>
      <c r="R41" s="28" t="str">
        <f t="shared" si="2"/>
        <v/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/>
      <c r="O42" s="24"/>
      <c r="P42" s="8" t="str">
        <f t="shared" si="1"/>
        <v/>
      </c>
      <c r="Q42" s="30" t="s">
        <v>30</v>
      </c>
      <c r="R42" s="28" t="str">
        <f t="shared" si="2"/>
        <v/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/>
      <c r="O43" s="24"/>
      <c r="P43" s="8" t="str">
        <f t="shared" si="1"/>
        <v/>
      </c>
      <c r="Q43" s="30" t="s">
        <v>30</v>
      </c>
      <c r="R43" s="28" t="str">
        <f t="shared" si="2"/>
        <v/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/>
      <c r="O44" s="24"/>
      <c r="P44" s="8" t="str">
        <f t="shared" si="1"/>
        <v/>
      </c>
      <c r="Q44" s="30" t="s">
        <v>30</v>
      </c>
      <c r="R44" s="28" t="str">
        <f t="shared" si="2"/>
        <v/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/>
      <c r="O45" s="24"/>
      <c r="P45" s="8" t="str">
        <f t="shared" si="1"/>
        <v/>
      </c>
      <c r="Q45" s="30" t="s">
        <v>30</v>
      </c>
      <c r="R45" s="28" t="str">
        <f t="shared" si="2"/>
        <v/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/>
      <c r="O46" s="24"/>
      <c r="P46" s="8" t="str">
        <f t="shared" si="1"/>
        <v/>
      </c>
      <c r="Q46" s="30" t="s">
        <v>30</v>
      </c>
      <c r="R46" s="28" t="str">
        <f t="shared" si="2"/>
        <v/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6"/>
      <c r="O48" s="26"/>
      <c r="P48" s="25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S5:S48">
      <formula1>"Yes,No"</formula1>
    </dataValidation>
    <dataValidation type="list" allowBlank="1" sqref="T5:T48">
      <formula1>Protocol!$K$1:$K$5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selection activeCell="G7" sqref="G7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244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244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A7" sqref="A7:A10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>
        <v>46119</v>
      </c>
      <c r="B8" s="5">
        <f>IF(A8="","",A8-Protocol!$B$3+1)</f>
        <v>6</v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>
        <v>46120</v>
      </c>
      <c r="B9" s="5">
        <f>IF(A9="","",A9-Protocol!$B$3+1)</f>
        <v>7</v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>
        <v>46121</v>
      </c>
      <c r="B10" s="5">
        <f>IF(A10="","",A10-Protocol!$B$3+1)</f>
        <v>8</v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2026-04-07T02:20:00Z</dcterms:created>
  <dcterms:modified xsi:type="dcterms:W3CDTF">2026-05-18T08:46:25Z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