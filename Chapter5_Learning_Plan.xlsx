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4" documentId="11_607AB54B5F6E991270EEAF9FEFBB2864F8EEE939" xr6:coauthVersionLast="47" xr6:coauthVersionMax="47" xr10:uidLastSave="{EFBDAAD2-1943-4FA3-BD64-E7E02794A0BD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1" i="2"/>
  <c r="D40" i="2"/>
  <c r="D37" i="2"/>
  <c r="D36" i="2"/>
  <c r="D35" i="2"/>
  <c r="D34" i="2"/>
  <c r="D31" i="2"/>
  <c r="D30" i="2"/>
  <c r="D29" i="2"/>
  <c r="D28" i="2"/>
  <c r="D27" i="2"/>
  <c r="D26" i="2"/>
  <c r="D25" i="2"/>
  <c r="D24" i="2"/>
  <c r="D21" i="2"/>
  <c r="D20" i="2"/>
  <c r="D17" i="2"/>
  <c r="D16" i="2"/>
  <c r="D15" i="2"/>
  <c r="D14" i="2"/>
  <c r="D11" i="2"/>
  <c r="D10" i="2"/>
  <c r="D9" i="2"/>
  <c r="D8" i="2"/>
  <c r="D7" i="2"/>
  <c r="D6" i="2"/>
  <c r="D5" i="2"/>
  <c r="D4" i="2"/>
  <c r="B2" i="2"/>
  <c r="D43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B48" i="1"/>
  <c r="H48" i="1" s="1"/>
  <c r="H47" i="1"/>
  <c r="B47" i="1"/>
  <c r="B46" i="1"/>
  <c r="H46" i="1" s="1"/>
  <c r="H45" i="1"/>
  <c r="B45" i="1"/>
  <c r="B44" i="1"/>
  <c r="H44" i="1" s="1"/>
  <c r="B43" i="1"/>
  <c r="H43" i="1" s="1"/>
  <c r="H42" i="1"/>
  <c r="B42" i="1"/>
  <c r="B41" i="1"/>
  <c r="H41" i="1" s="1"/>
  <c r="B40" i="1"/>
  <c r="H40" i="1" s="1"/>
  <c r="B39" i="1"/>
  <c r="H39" i="1" s="1"/>
  <c r="B38" i="1"/>
  <c r="H38" i="1" s="1"/>
  <c r="H37" i="1"/>
  <c r="B37" i="1"/>
  <c r="B36" i="1"/>
  <c r="H36" i="1" s="1"/>
  <c r="H35" i="1"/>
  <c r="B35" i="1"/>
  <c r="B34" i="1"/>
  <c r="H34" i="1" s="1"/>
  <c r="B33" i="1"/>
  <c r="H33" i="1" s="1"/>
  <c r="H32" i="1"/>
  <c r="B32" i="1"/>
  <c r="B31" i="1"/>
  <c r="H31" i="1" s="1"/>
  <c r="B30" i="1"/>
  <c r="H30" i="1" s="1"/>
  <c r="B29" i="1"/>
  <c r="H29" i="1" s="1"/>
  <c r="B28" i="1"/>
  <c r="H28" i="1" s="1"/>
  <c r="H27" i="1"/>
  <c r="B27" i="1"/>
  <c r="B26" i="1"/>
  <c r="H26" i="1" s="1"/>
  <c r="H25" i="1"/>
  <c r="B25" i="1"/>
  <c r="B24" i="1"/>
  <c r="H24" i="1" s="1"/>
  <c r="B23" i="1"/>
  <c r="H23" i="1" s="1"/>
  <c r="H22" i="1"/>
  <c r="B22" i="1"/>
  <c r="B21" i="1"/>
  <c r="H21" i="1" s="1"/>
  <c r="B20" i="1"/>
  <c r="H20" i="1" s="1"/>
  <c r="B19" i="1"/>
  <c r="H19" i="1" s="1"/>
  <c r="B18" i="1"/>
  <c r="H18" i="1" s="1"/>
  <c r="H17" i="1"/>
  <c r="B17" i="1"/>
  <c r="B16" i="1"/>
  <c r="H16" i="1" s="1"/>
  <c r="H15" i="1"/>
  <c r="B15" i="1"/>
  <c r="B14" i="1"/>
  <c r="H14" i="1" s="1"/>
  <c r="B13" i="1"/>
  <c r="H13" i="1" s="1"/>
  <c r="H12" i="1"/>
  <c r="B12" i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H5" i="1"/>
  <c r="B5" i="1"/>
  <c r="B12" i="3" l="1"/>
  <c r="D12" i="2"/>
  <c r="D32" i="2"/>
  <c r="D13" i="2"/>
  <c r="D33" i="2"/>
  <c r="D18" i="2"/>
  <c r="D38" i="2"/>
  <c r="D19" i="2"/>
  <c r="D39" i="2"/>
  <c r="D22" i="2"/>
  <c r="D42" i="2"/>
  <c r="D23" i="2"/>
</calcChain>
</file>

<file path=xl/sharedStrings.xml><?xml version="1.0" encoding="utf-8"?>
<sst xmlns="http://schemas.openxmlformats.org/spreadsheetml/2006/main" count="367" uniqueCount="184">
  <si>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</si>
  <si>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</si>
  <si>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</si>
  <si>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</si>
  <si>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</si>
  <si>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</si>
  <si>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</si>
  <si>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</si>
  <si>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</si>
  <si>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</si>
  <si>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</si>
  <si>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</si>
  <si>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</si>
  <si>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</si>
  <si>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</si>
  <si>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</si>
  <si>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</si>
  <si>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</si>
  <si>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</si>
  <si>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</si>
  <si>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</si>
  <si>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</si>
  <si>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</si>
  <si>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</si>
  <si>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</si>
  <si>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</si>
  <si>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</si>
  <si>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</si>
  <si>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</si>
  <si>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</si>
  <si>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</si>
  <si>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</si>
  <si>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</si>
  <si>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</si>
  <si>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</si>
  <si>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</si>
  <si>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</si>
  <si>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</si>
  <si>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</si>
  <si>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</si>
  <si>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</si>
  <si>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</si>
  <si>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</si>
  <si>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</si>
  <si>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</si>
  <si>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</si>
  <si>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</si>
  <si>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</si>
  <si>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</si>
  <si>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</si>
  <si>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</si>
  <si>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</si>
  <si>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</si>
  <si>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</si>
  <si>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</si>
  <si>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</si>
  <si>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</si>
  <si>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</si>
  <si>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</si>
  <si>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</si>
  <si>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</si>
  <si>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</si>
  <si>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</si>
  <si>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</si>
  <si>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</si>
  <si>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</si>
  <si>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</si>
  <si>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</si>
  <si>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</si>
  <si>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</si>
  <si>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</si>
  <si>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</si>
  <si>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</si>
  <si>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</si>
  <si>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</si>
  <si>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</si>
  <si>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</si>
  <si>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</si>
  <si>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</si>
  <si>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</si>
  <si>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</si>
  <si>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</si>
  <si>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</si>
  <si>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</si>
  <si>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</si>
  <si>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</si>
  <si>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</si>
  <si>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</si>
  <si>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</si>
  <si>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</si>
  <si>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Actual done: 2026-03-10</t>
  </si>
  <si>
    <t>5.4/5.8</t>
  </si>
  <si>
    <t>Exercises: Ex11 (L2)</t>
  </si>
  <si>
    <t>Actual done: 2026-03-11</t>
  </si>
  <si>
    <t>Exercises: Ex19 (L1)</t>
  </si>
  <si>
    <t>Actual done: 2026-03-12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</si>
  <si>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</si>
  <si>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</si>
  <si>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</si>
  <si>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</si>
  <si>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</si>
  <si>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</si>
  <si>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Actual done: 2026-03-13</t>
  </si>
  <si>
    <t>Exercises: Ex24 (L2)</t>
  </si>
  <si>
    <t>Exercises: Ex35 (L2)</t>
  </si>
  <si>
    <t>Actual done: 2026-03-16</t>
  </si>
  <si>
    <t>Exercises: Ex28 (L2)</t>
  </si>
  <si>
    <t>Actual done: 2026-03-17</t>
  </si>
  <si>
    <t>Exercises: Ex26 (L2)</t>
  </si>
  <si>
    <t>Exercises: Ex29 (L2)</t>
  </si>
  <si>
    <t>wrap</t>
  </si>
  <si>
    <t>Exercises: Ex32 (L2), Ex33 (L2), Ex34 (L2)</t>
  </si>
  <si>
    <t>Actual done Ex32: 2026-03-17, Ex33, 34: 2026-03-18</t>
  </si>
  <si>
    <t>Exercises: Ex31(a–d) (L2)</t>
  </si>
  <si>
    <t>Exercises: Ex31(e–g) (L2)</t>
  </si>
  <si>
    <t>Actual done: 2026-03-24</t>
  </si>
  <si>
    <t>Exercises: Ex25 (L3) (part 1)</t>
  </si>
  <si>
    <t>Not Started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</si>
  <si>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</si>
  <si>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</si>
  <si>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</si>
  <si>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</si>
  <si>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</si>
  <si>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</si>
  <si>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</si>
  <si>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</si>
  <si>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</si>
  <si>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</si>
  <si>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</si>
  <si>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</si>
  <si>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</si>
  <si>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</si>
  <si>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</si>
  <si>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</si>
  <si>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</si>
  <si>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</si>
  <si>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</si>
  <si>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</si>
  <si>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</si>
  <si>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</si>
  <si>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</si>
  <si>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</si>
  <si>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</si>
  <si>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</si>
  <si>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</si>
  <si>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</si>
  <si>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</si>
  <si>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</si>
  <si>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</si>
  <si>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</si>
  <si>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</si>
  <si>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</si>
  <si>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</si>
  <si>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</si>
  <si>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</si>
  <si>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</si>
  <si>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</si>
  <si>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</si>
  <si>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</si>
  <si>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</si>
  <si>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</si>
  <si>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</si>
  <si>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</si>
  <si>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</si>
  <si>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</si>
  <si>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</si>
  <si>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</si>
  <si>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</si>
  <si>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</si>
  <si>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</si>
  <si>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</si>
  <si>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</si>
  <si>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</si>
  <si>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</si>
  <si>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</si>
  <si>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</si>
  <si>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</si>
  <si>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</si>
  <si>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</si>
  <si>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</si>
  <si>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</si>
  <si>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</si>
  <si>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</si>
  <si>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2026-03-25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</si>
</sst>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top" wrapText="1"/>
    </xf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E1" workbookViewId="0">
      <pane ySplit="4" topLeftCell="A42" activePane="bottomLeft" state="frozen"/>
      <selection pane="bottomLeft" activeCell="J50" sqref="J50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8" t="s">
        <v>44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8" t="s">
        <v>46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50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2">
        <f t="shared" si="1"/>
        <v>46070</v>
      </c>
      <c r="I20" s="8"/>
      <c r="J20" s="8" t="s">
        <v>52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2">
        <f t="shared" si="1"/>
        <v>46071</v>
      </c>
      <c r="I21" s="8"/>
      <c r="J21" s="8" t="s">
        <v>56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2">
        <f t="shared" si="1"/>
        <v>46072</v>
      </c>
      <c r="I22" s="8"/>
      <c r="J22" s="8" t="s">
        <v>58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2">
        <f t="shared" si="1"/>
        <v>46073</v>
      </c>
      <c r="I23" s="8"/>
      <c r="J23" s="8" t="s">
        <v>60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2">
        <f t="shared" si="1"/>
        <v>46074</v>
      </c>
      <c r="I24" s="8"/>
      <c r="J24" s="8" t="s">
        <v>62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2">
        <f t="shared" si="1"/>
        <v>46075</v>
      </c>
      <c r="I25" s="8"/>
      <c r="J25" s="8" t="s">
        <v>65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2">
        <f t="shared" si="1"/>
        <v>46076</v>
      </c>
      <c r="I26" s="8"/>
      <c r="J26" s="8" t="s">
        <v>69</v>
      </c>
      <c r="K26" s="8"/>
    </row>
    <row r="27" spans="1:11" x14ac:dyDescent="0.15">
      <c r="A27" s="10">
        <v>23</v>
      </c>
      <c r="B27" s="11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2">
        <f t="shared" si="1"/>
        <v>46077</v>
      </c>
      <c r="I27" s="8"/>
      <c r="J27" s="8" t="s">
        <v>71</v>
      </c>
      <c r="K27" s="8"/>
    </row>
    <row r="28" spans="1:11" x14ac:dyDescent="0.15">
      <c r="A28" s="10">
        <v>24</v>
      </c>
      <c r="B28" s="11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2">
        <f t="shared" si="1"/>
        <v>46078</v>
      </c>
      <c r="I28" s="8"/>
      <c r="J28" s="8" t="s">
        <v>75</v>
      </c>
      <c r="K28" s="8"/>
    </row>
    <row r="29" spans="1:11" x14ac:dyDescent="0.15">
      <c r="A29" s="10">
        <v>25</v>
      </c>
      <c r="B29" s="11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2">
        <f t="shared" si="1"/>
        <v>46079</v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2">
        <f t="shared" si="1"/>
        <v>46080</v>
      </c>
      <c r="I30" s="8"/>
      <c r="J30" s="8" t="s">
        <v>78</v>
      </c>
      <c r="K30" s="8"/>
    </row>
    <row r="31" spans="1:11" x14ac:dyDescent="0.15">
      <c r="A31" s="10">
        <v>27</v>
      </c>
      <c r="B31" s="11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2">
        <f t="shared" si="1"/>
        <v>46081</v>
      </c>
      <c r="I31" s="8"/>
      <c r="J31" s="8" t="s">
        <v>81</v>
      </c>
      <c r="K31" s="8"/>
    </row>
    <row r="32" spans="1:11" x14ac:dyDescent="0.15">
      <c r="A32" s="10">
        <v>28</v>
      </c>
      <c r="B32" s="11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2">
        <f t="shared" si="1"/>
        <v>46082</v>
      </c>
      <c r="I32" s="8"/>
      <c r="J32" s="8" t="s">
        <v>84</v>
      </c>
      <c r="K32" s="8"/>
    </row>
    <row r="33" spans="1:11" x14ac:dyDescent="0.15">
      <c r="A33" s="10">
        <v>29</v>
      </c>
      <c r="B33" s="11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2">
        <f t="shared" si="1"/>
        <v>46083</v>
      </c>
      <c r="I33" s="8"/>
      <c r="J33" s="8" t="s">
        <v>88</v>
      </c>
      <c r="K33" s="8"/>
    </row>
    <row r="34" spans="1:11" x14ac:dyDescent="0.15">
      <c r="A34" s="10">
        <v>30</v>
      </c>
      <c r="B34" s="11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17</v>
      </c>
      <c r="H34" s="12">
        <f t="shared" si="1"/>
        <v>46084</v>
      </c>
      <c r="I34" s="8"/>
      <c r="J34" s="8" t="s">
        <v>90</v>
      </c>
      <c r="K34" s="8"/>
    </row>
    <row r="35" spans="1:11" x14ac:dyDescent="0.15">
      <c r="A35" s="10">
        <v>31</v>
      </c>
      <c r="B35" s="11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17</v>
      </c>
      <c r="H35" s="12">
        <f t="shared" si="1"/>
        <v>46085</v>
      </c>
      <c r="I35" s="8"/>
      <c r="J35" s="8" t="s">
        <v>93</v>
      </c>
      <c r="K35" s="8"/>
    </row>
    <row r="36" spans="1:11" x14ac:dyDescent="0.15">
      <c r="A36" s="10">
        <v>32</v>
      </c>
      <c r="B36" s="11">
        <f t="shared" si="0"/>
        <v>46084</v>
      </c>
      <c r="C36" s="8" t="s">
        <v>79</v>
      </c>
      <c r="D36" s="8"/>
      <c r="E36" s="8" t="s">
        <v>94</v>
      </c>
      <c r="F36" s="8">
        <v>90</v>
      </c>
      <c r="G36" s="8" t="s">
        <v>17</v>
      </c>
      <c r="H36" s="12">
        <f t="shared" si="1"/>
        <v>46086</v>
      </c>
      <c r="I36" s="8"/>
      <c r="J36" s="8" t="s">
        <v>95</v>
      </c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79</v>
      </c>
      <c r="D37" s="8" t="s">
        <v>96</v>
      </c>
      <c r="E37" s="8" t="s">
        <v>97</v>
      </c>
      <c r="F37" s="8">
        <v>90</v>
      </c>
      <c r="G37" s="8" t="s">
        <v>17</v>
      </c>
      <c r="H37" s="12">
        <f t="shared" ref="H37:H56" si="3">IF(G37="Done",B37+2,"")</f>
        <v>46087</v>
      </c>
      <c r="I37" s="8"/>
      <c r="J37" s="8" t="s">
        <v>95</v>
      </c>
      <c r="K37" s="8"/>
    </row>
    <row r="38" spans="1:11" x14ac:dyDescent="0.15">
      <c r="A38" s="10">
        <v>34</v>
      </c>
      <c r="B38" s="11">
        <f t="shared" si="2"/>
        <v>46086</v>
      </c>
      <c r="C38" s="8" t="s">
        <v>79</v>
      </c>
      <c r="D38" s="8" t="s">
        <v>98</v>
      </c>
      <c r="E38" s="8" t="s">
        <v>99</v>
      </c>
      <c r="F38" s="8">
        <v>90</v>
      </c>
      <c r="G38" s="8" t="s">
        <v>17</v>
      </c>
      <c r="H38" s="12">
        <f t="shared" si="3"/>
        <v>46088</v>
      </c>
      <c r="I38" s="8"/>
      <c r="J38" s="8" t="s">
        <v>95</v>
      </c>
      <c r="K38" s="8"/>
    </row>
    <row r="39" spans="1:11" x14ac:dyDescent="0.15">
      <c r="A39" s="10">
        <v>35</v>
      </c>
      <c r="B39" s="11">
        <f t="shared" si="2"/>
        <v>46087</v>
      </c>
      <c r="C39" s="8" t="s">
        <v>79</v>
      </c>
      <c r="D39" s="8"/>
      <c r="E39" s="8" t="s">
        <v>100</v>
      </c>
      <c r="F39" s="8">
        <v>60</v>
      </c>
      <c r="G39" s="8" t="s">
        <v>17</v>
      </c>
      <c r="H39" s="12">
        <f t="shared" si="3"/>
        <v>46089</v>
      </c>
      <c r="I39" s="8"/>
      <c r="J39" s="8" t="s">
        <v>95</v>
      </c>
      <c r="K39" s="8"/>
    </row>
    <row r="40" spans="1:11" x14ac:dyDescent="0.15">
      <c r="A40" s="10">
        <v>36</v>
      </c>
      <c r="B40" s="11">
        <f t="shared" si="2"/>
        <v>46088</v>
      </c>
      <c r="C40" s="8" t="s">
        <v>79</v>
      </c>
      <c r="D40" s="8"/>
      <c r="E40" s="8" t="s">
        <v>101</v>
      </c>
      <c r="F40" s="8">
        <v>90</v>
      </c>
      <c r="G40" s="8" t="s">
        <v>17</v>
      </c>
      <c r="H40" s="12">
        <f t="shared" si="3"/>
        <v>46090</v>
      </c>
      <c r="I40" s="8"/>
      <c r="J40" s="8" t="s">
        <v>102</v>
      </c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103</v>
      </c>
      <c r="F41" s="8">
        <v>60</v>
      </c>
      <c r="G41" s="8" t="s">
        <v>17</v>
      </c>
      <c r="H41" s="12">
        <f t="shared" si="3"/>
        <v>46091</v>
      </c>
      <c r="I41" s="8"/>
      <c r="J41" s="8" t="s">
        <v>102</v>
      </c>
      <c r="K41" s="8"/>
    </row>
    <row r="42" spans="1:11" x14ac:dyDescent="0.15">
      <c r="A42" s="10">
        <v>38</v>
      </c>
      <c r="B42" s="11">
        <f t="shared" si="2"/>
        <v>46090</v>
      </c>
      <c r="C42" s="8" t="s">
        <v>79</v>
      </c>
      <c r="D42" s="8"/>
      <c r="E42" s="8" t="s">
        <v>104</v>
      </c>
      <c r="F42" s="8">
        <v>75</v>
      </c>
      <c r="G42" s="8" t="s">
        <v>17</v>
      </c>
      <c r="H42" s="12">
        <f t="shared" si="3"/>
        <v>46092</v>
      </c>
      <c r="I42" s="8"/>
      <c r="J42" s="8" t="s">
        <v>105</v>
      </c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106</v>
      </c>
      <c r="F43" s="8">
        <v>60</v>
      </c>
      <c r="G43" s="8" t="s">
        <v>17</v>
      </c>
      <c r="H43" s="12">
        <f t="shared" si="3"/>
        <v>46093</v>
      </c>
      <c r="I43" s="8"/>
      <c r="J43" s="8" t="s">
        <v>107</v>
      </c>
      <c r="K43" s="8"/>
    </row>
    <row r="44" spans="1:11" x14ac:dyDescent="0.15">
      <c r="A44" s="10">
        <v>40</v>
      </c>
      <c r="B44" s="11">
        <f t="shared" si="2"/>
        <v>46092</v>
      </c>
      <c r="C44" s="8" t="s">
        <v>82</v>
      </c>
      <c r="D44" s="8"/>
      <c r="E44" s="8" t="s">
        <v>108</v>
      </c>
      <c r="F44" s="8">
        <v>60</v>
      </c>
      <c r="G44" s="8" t="s">
        <v>17</v>
      </c>
      <c r="H44" s="12">
        <f t="shared" si="3"/>
        <v>46094</v>
      </c>
      <c r="I44" s="8"/>
      <c r="J44" s="8" t="s">
        <v>107</v>
      </c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109</v>
      </c>
      <c r="F45" s="8">
        <v>60</v>
      </c>
      <c r="G45" s="8" t="s">
        <v>17</v>
      </c>
      <c r="H45" s="12">
        <f t="shared" si="3"/>
        <v>46095</v>
      </c>
      <c r="I45" s="8"/>
      <c r="J45" s="8" t="s">
        <v>107</v>
      </c>
      <c r="K45" s="8"/>
    </row>
    <row r="46" spans="1:11" ht="27" x14ac:dyDescent="0.15">
      <c r="A46" s="10">
        <v>42</v>
      </c>
      <c r="B46" s="11">
        <f t="shared" si="2"/>
        <v>46094</v>
      </c>
      <c r="C46" s="8" t="s">
        <v>110</v>
      </c>
      <c r="D46" s="8"/>
      <c r="E46" s="8" t="s">
        <v>111</v>
      </c>
      <c r="F46" s="8">
        <v>75</v>
      </c>
      <c r="G46" s="8" t="s">
        <v>17</v>
      </c>
      <c r="H46" s="12">
        <f t="shared" si="3"/>
        <v>46096</v>
      </c>
      <c r="I46" s="8"/>
      <c r="J46" s="8" t="s">
        <v>112</v>
      </c>
      <c r="K46" s="8"/>
    </row>
    <row r="47" spans="1:11" x14ac:dyDescent="0.15">
      <c r="A47" s="10">
        <v>43</v>
      </c>
      <c r="B47" s="11">
        <f t="shared" si="2"/>
        <v>46095</v>
      </c>
      <c r="C47" s="8" t="s">
        <v>110</v>
      </c>
      <c r="D47" s="8"/>
      <c r="E47" s="8" t="s">
        <v>113</v>
      </c>
      <c r="F47" s="8">
        <v>90</v>
      </c>
      <c r="G47" s="8" t="s">
        <v>17</v>
      </c>
      <c r="H47" s="12">
        <f t="shared" si="3"/>
        <v>46097</v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110</v>
      </c>
      <c r="D48" s="8"/>
      <c r="E48" s="8" t="s">
        <v>114</v>
      </c>
      <c r="F48" s="8">
        <v>90</v>
      </c>
      <c r="G48" s="8" t="s">
        <v>17</v>
      </c>
      <c r="H48" s="12">
        <f t="shared" si="3"/>
        <v>46098</v>
      </c>
      <c r="I48" s="8"/>
      <c r="J48" s="8" t="s">
        <v>115</v>
      </c>
      <c r="K48" s="8"/>
    </row>
    <row r="49" spans="1:11" x14ac:dyDescent="0.15">
      <c r="A49" s="10">
        <v>45</v>
      </c>
      <c r="B49" s="11">
        <f t="shared" si="2"/>
        <v>46097</v>
      </c>
      <c r="C49" s="8" t="s">
        <v>82</v>
      </c>
      <c r="D49" s="8"/>
      <c r="E49" s="8" t="s">
        <v>116</v>
      </c>
      <c r="F49" s="8">
        <v>60</v>
      </c>
      <c r="G49" s="8" t="s">
        <v>17</v>
      </c>
      <c r="H49" s="12">
        <f t="shared" si="3"/>
        <v>46099</v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82</v>
      </c>
      <c r="D50" s="8"/>
      <c r="E50" s="8" t="s">
        <v>118</v>
      </c>
      <c r="F50" s="8">
        <v>60</v>
      </c>
      <c r="G50" s="8" t="s">
        <v>17</v>
      </c>
      <c r="H50" s="12">
        <f t="shared" si="3"/>
        <v>46100</v>
      </c>
      <c r="I50" s="8"/>
      <c r="J50" s="16" t="s">
        <v>183</v>
      </c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119</v>
      </c>
      <c r="F51" s="8">
        <v>90</v>
      </c>
      <c r="G51" s="8" t="s">
        <v>117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79</v>
      </c>
      <c r="D52" s="8"/>
      <c r="E52" s="8" t="s">
        <v>120</v>
      </c>
      <c r="F52" s="8">
        <v>60</v>
      </c>
      <c r="G52" s="8" t="s">
        <v>117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79</v>
      </c>
      <c r="D53" s="8"/>
      <c r="E53" s="8" t="s">
        <v>121</v>
      </c>
      <c r="F53" s="8">
        <v>90</v>
      </c>
      <c r="G53" s="8" t="s">
        <v>117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79</v>
      </c>
      <c r="D54" s="8"/>
      <c r="E54" s="8" t="s">
        <v>122</v>
      </c>
      <c r="F54" s="8">
        <v>90</v>
      </c>
      <c r="G54" s="8" t="s">
        <v>117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53</v>
      </c>
      <c r="D55" s="8"/>
      <c r="E55" s="8" t="s">
        <v>123</v>
      </c>
      <c r="F55" s="8">
        <v>60</v>
      </c>
      <c r="G55" s="8" t="s">
        <v>117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110</v>
      </c>
      <c r="D56" s="8"/>
      <c r="E56" s="8" t="s">
        <v>124</v>
      </c>
      <c r="F56" s="8">
        <v>45</v>
      </c>
      <c r="G56" s="8" t="s">
        <v>117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5" t="s">
        <v>125</v>
      </c>
      <c r="B1" s="14"/>
      <c r="C1" s="14"/>
      <c r="D1" s="14"/>
      <c r="E1" s="14"/>
      <c r="F1" s="14"/>
    </row>
    <row r="2" spans="1:6" x14ac:dyDescent="0.15">
      <c r="A2" s="5" t="s">
        <v>126</v>
      </c>
      <c r="B2" s="6">
        <f>'Daily Plan'!B2</f>
        <v>46053</v>
      </c>
    </row>
    <row r="3" spans="1:6" ht="27" x14ac:dyDescent="0.15">
      <c r="A3" s="7" t="s">
        <v>127</v>
      </c>
      <c r="B3" s="7" t="s">
        <v>128</v>
      </c>
      <c r="C3" s="7" t="s">
        <v>129</v>
      </c>
      <c r="D3" s="7" t="s">
        <v>130</v>
      </c>
      <c r="E3" s="7" t="s">
        <v>131</v>
      </c>
      <c r="F3" s="7" t="s">
        <v>13</v>
      </c>
    </row>
    <row r="4" spans="1:6" x14ac:dyDescent="0.15">
      <c r="A4" s="8">
        <v>1</v>
      </c>
      <c r="B4" s="8" t="s">
        <v>132</v>
      </c>
      <c r="C4" s="8" t="s">
        <v>133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132</v>
      </c>
      <c r="C5" s="8" t="s">
        <v>134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132</v>
      </c>
      <c r="C6" s="8" t="s">
        <v>135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132</v>
      </c>
      <c r="C7" s="8" t="s">
        <v>134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132</v>
      </c>
      <c r="C8" s="8" t="s">
        <v>136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132</v>
      </c>
      <c r="C9" s="8" t="s">
        <v>137</v>
      </c>
      <c r="D9" s="8" t="str">
        <f>IF($B$2="","",TEXT($B$2+6-1,"yyyy-mm-dd")&amp;" – "&amp;TEXT($B$2+16-1,"yyyy-mm-dd"))</f>
        <v>2026-02-05 – 2026-02-15</v>
      </c>
      <c r="E9" s="8" t="s">
        <v>138</v>
      </c>
      <c r="F9" s="8"/>
    </row>
    <row r="10" spans="1:6" x14ac:dyDescent="0.15">
      <c r="A10" s="8">
        <v>7</v>
      </c>
      <c r="B10" s="8" t="s">
        <v>132</v>
      </c>
      <c r="C10" s="8" t="s">
        <v>139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132</v>
      </c>
      <c r="C11" s="8" t="s">
        <v>140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132</v>
      </c>
      <c r="C12" s="8" t="s">
        <v>141</v>
      </c>
      <c r="D12" s="8" t="str">
        <f>IF($B$2="","",TEXT($B$2+48-1,"yyyy-mm-dd"))</f>
        <v>2026-03-19</v>
      </c>
      <c r="E12" s="8" t="s">
        <v>79</v>
      </c>
      <c r="F12" s="8"/>
    </row>
    <row r="13" spans="1:6" x14ac:dyDescent="0.15">
      <c r="A13" s="8">
        <v>10</v>
      </c>
      <c r="B13" s="8" t="s">
        <v>142</v>
      </c>
      <c r="C13" s="8" t="s">
        <v>143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132</v>
      </c>
      <c r="C14" s="8" t="s">
        <v>144</v>
      </c>
      <c r="D14" s="8" t="str">
        <f>IF($B$2="","",TEXT($B$2+31-1,"yyyy-mm-dd"))</f>
        <v>2026-03-02</v>
      </c>
      <c r="E14" s="8" t="s">
        <v>91</v>
      </c>
      <c r="F14" s="8"/>
    </row>
    <row r="15" spans="1:6" ht="27" x14ac:dyDescent="0.15">
      <c r="A15" s="8">
        <v>12</v>
      </c>
      <c r="B15" s="8" t="s">
        <v>142</v>
      </c>
      <c r="C15" s="8" t="s">
        <v>145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 x14ac:dyDescent="0.15">
      <c r="A16" s="8">
        <v>13</v>
      </c>
      <c r="B16" s="8" t="s">
        <v>142</v>
      </c>
      <c r="C16" s="8" t="s">
        <v>146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132</v>
      </c>
      <c r="C17" s="8" t="s">
        <v>147</v>
      </c>
      <c r="D17" s="8" t="str">
        <f>IF($B$2="","",TEXT($B$2+17-1,"yyyy-mm-dd"))</f>
        <v>2026-02-16</v>
      </c>
      <c r="E17" s="8" t="s">
        <v>53</v>
      </c>
      <c r="F17" s="8"/>
    </row>
    <row r="18" spans="1:6" x14ac:dyDescent="0.15">
      <c r="A18" s="8">
        <v>15</v>
      </c>
      <c r="B18" s="8" t="s">
        <v>132</v>
      </c>
      <c r="C18" s="8" t="s">
        <v>148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132</v>
      </c>
      <c r="C19" s="8" t="s">
        <v>149</v>
      </c>
      <c r="D19" s="8" t="str">
        <f>IF($B$2="","",TEXT($B$2+22-1,"yyyy-mm-dd")&amp;" – "&amp;TEXT($B$2+30-1,"yyyy-mm-dd"))</f>
        <v>2026-02-21 – 2026-03-01</v>
      </c>
      <c r="E19" s="8" t="s">
        <v>150</v>
      </c>
      <c r="F19" s="8"/>
    </row>
    <row r="20" spans="1:6" x14ac:dyDescent="0.15">
      <c r="A20" s="8">
        <v>17</v>
      </c>
      <c r="B20" s="8" t="s">
        <v>132</v>
      </c>
      <c r="C20" s="8" t="s">
        <v>151</v>
      </c>
      <c r="D20" s="8" t="str">
        <f>IF($B$2="","",TEXT($B$2+27-1,"yyyy-mm-dd"))</f>
        <v>2026-02-26</v>
      </c>
      <c r="E20" s="8" t="s">
        <v>79</v>
      </c>
      <c r="F20" s="8"/>
    </row>
    <row r="21" spans="1:6" x14ac:dyDescent="0.15">
      <c r="A21" s="8">
        <v>18</v>
      </c>
      <c r="B21" s="8" t="s">
        <v>152</v>
      </c>
      <c r="C21" s="8" t="s">
        <v>153</v>
      </c>
      <c r="D21" s="8" t="str">
        <f>IF($B$2="","",TEXT($B$2+23-1,"yyyy-mm-dd"))</f>
        <v>2026-02-22</v>
      </c>
      <c r="E21" s="8" t="s">
        <v>66</v>
      </c>
      <c r="F21" s="8"/>
    </row>
    <row r="22" spans="1:6" x14ac:dyDescent="0.15">
      <c r="A22" s="8">
        <v>19</v>
      </c>
      <c r="B22" s="8" t="s">
        <v>142</v>
      </c>
      <c r="C22" s="8" t="s">
        <v>154</v>
      </c>
      <c r="D22" s="8" t="str">
        <f>IF($B$2="","",TEXT($B$2+32-1,"yyyy-mm-dd"))</f>
        <v>2026-03-03</v>
      </c>
      <c r="E22" s="8" t="s">
        <v>79</v>
      </c>
      <c r="F22" s="8"/>
    </row>
    <row r="23" spans="1:6" ht="27" x14ac:dyDescent="0.15">
      <c r="A23" s="8">
        <v>20</v>
      </c>
      <c r="B23" s="8" t="s">
        <v>132</v>
      </c>
      <c r="C23" s="8" t="s">
        <v>155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 x14ac:dyDescent="0.15">
      <c r="A24" s="8">
        <v>21</v>
      </c>
      <c r="B24" s="8" t="s">
        <v>132</v>
      </c>
      <c r="C24" s="8" t="s">
        <v>156</v>
      </c>
      <c r="D24" s="8" t="str">
        <f>IF($B$2="","",TEXT($B$2+21-1,"yyyy-mm-dd"))</f>
        <v>2026-02-20</v>
      </c>
      <c r="E24" s="8" t="s">
        <v>63</v>
      </c>
      <c r="F24" s="8"/>
    </row>
    <row r="25" spans="1:6" ht="27" x14ac:dyDescent="0.15">
      <c r="A25" s="8">
        <v>22</v>
      </c>
      <c r="B25" s="8" t="s">
        <v>132</v>
      </c>
      <c r="C25" s="8" t="s">
        <v>157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 x14ac:dyDescent="0.15">
      <c r="A26" s="8">
        <v>23</v>
      </c>
      <c r="B26" s="8" t="s">
        <v>132</v>
      </c>
      <c r="C26" s="8" t="s">
        <v>158</v>
      </c>
      <c r="D26" s="8" t="str">
        <f>IF($B$2="","",TEXT($B$2+24-1,"yyyy-mm-dd"))</f>
        <v>2026-02-23</v>
      </c>
      <c r="E26" s="8" t="s">
        <v>72</v>
      </c>
      <c r="F26" s="8"/>
    </row>
    <row r="27" spans="1:6" x14ac:dyDescent="0.15">
      <c r="A27" s="8">
        <v>24</v>
      </c>
      <c r="B27" s="8" t="s">
        <v>132</v>
      </c>
      <c r="C27" s="8" t="s">
        <v>159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152</v>
      </c>
      <c r="C28" s="8" t="s">
        <v>160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 x14ac:dyDescent="0.15">
      <c r="A29" s="8">
        <v>26</v>
      </c>
      <c r="B29" s="8" t="s">
        <v>132</v>
      </c>
      <c r="C29" s="8" t="s">
        <v>161</v>
      </c>
      <c r="D29" s="8" t="str">
        <f>IF($B$2="","",TEXT($B$2+40-1,"yyyy-mm-dd"))</f>
        <v>2026-03-11</v>
      </c>
      <c r="E29" s="8" t="s">
        <v>82</v>
      </c>
      <c r="F29" s="8"/>
    </row>
    <row r="30" spans="1:6" x14ac:dyDescent="0.15">
      <c r="A30" s="8">
        <v>27</v>
      </c>
      <c r="B30" s="8" t="s">
        <v>152</v>
      </c>
      <c r="C30" s="8" t="s">
        <v>162</v>
      </c>
      <c r="D30" s="8" t="str">
        <f>IF($B$2="","",TEXT($B$2+28-1,"yyyy-mm-dd"))</f>
        <v>2026-02-27</v>
      </c>
      <c r="E30" s="8" t="s">
        <v>82</v>
      </c>
      <c r="F30" s="8"/>
    </row>
    <row r="31" spans="1:6" x14ac:dyDescent="0.15">
      <c r="A31" s="8">
        <v>28</v>
      </c>
      <c r="B31" s="8" t="s">
        <v>132</v>
      </c>
      <c r="C31" s="8" t="s">
        <v>163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132</v>
      </c>
      <c r="C32" s="8" t="s">
        <v>164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142</v>
      </c>
      <c r="C33" s="8" t="s">
        <v>165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132</v>
      </c>
      <c r="C34" s="8" t="s">
        <v>166</v>
      </c>
      <c r="D34" s="8" t="str">
        <f>IF($B$2="","",TEXT($B$2+43-1,"yyyy-mm-dd")&amp;" – "&amp;TEXT($B$2+44-1,"yyyy-mm-dd"))</f>
        <v>2026-03-14 – 2026-03-15</v>
      </c>
      <c r="E34" s="8" t="s">
        <v>110</v>
      </c>
      <c r="F34" s="8"/>
    </row>
    <row r="35" spans="1:6" x14ac:dyDescent="0.15">
      <c r="A35" s="8">
        <v>32</v>
      </c>
      <c r="B35" s="8" t="s">
        <v>132</v>
      </c>
      <c r="C35" s="8" t="s">
        <v>167</v>
      </c>
      <c r="D35" s="8" t="str">
        <f>IF($B$2="","",TEXT($B$2+42-1,"yyyy-mm-dd"))</f>
        <v>2026-03-13</v>
      </c>
      <c r="E35" s="8" t="s">
        <v>110</v>
      </c>
      <c r="F35" s="8"/>
    </row>
    <row r="36" spans="1:6" x14ac:dyDescent="0.15">
      <c r="A36" s="8">
        <v>33</v>
      </c>
      <c r="B36" s="8" t="s">
        <v>132</v>
      </c>
      <c r="C36" s="8" t="s">
        <v>167</v>
      </c>
      <c r="D36" s="8" t="str">
        <f>IF($B$2="","",TEXT($B$2+42-1,"yyyy-mm-dd"))</f>
        <v>2026-03-13</v>
      </c>
      <c r="E36" s="8" t="s">
        <v>110</v>
      </c>
      <c r="F36" s="8"/>
    </row>
    <row r="37" spans="1:6" x14ac:dyDescent="0.15">
      <c r="A37" s="8">
        <v>34</v>
      </c>
      <c r="B37" s="8" t="s">
        <v>132</v>
      </c>
      <c r="C37" s="8" t="s">
        <v>167</v>
      </c>
      <c r="D37" s="8" t="str">
        <f>IF($B$2="","",TEXT($B$2+42-1,"yyyy-mm-dd"))</f>
        <v>2026-03-13</v>
      </c>
      <c r="E37" s="8" t="s">
        <v>110</v>
      </c>
      <c r="F37" s="8"/>
    </row>
    <row r="38" spans="1:6" x14ac:dyDescent="0.15">
      <c r="A38" s="8">
        <v>35</v>
      </c>
      <c r="B38" s="8" t="s">
        <v>132</v>
      </c>
      <c r="C38" s="8" t="s">
        <v>168</v>
      </c>
      <c r="D38" s="8" t="str">
        <f>IF($B$2="","",TEXT($B$2+38-1,"yyyy-mm-dd"))</f>
        <v>2026-03-09</v>
      </c>
      <c r="E38" s="8" t="s">
        <v>79</v>
      </c>
      <c r="F38" s="8"/>
    </row>
    <row r="39" spans="1:6" x14ac:dyDescent="0.15">
      <c r="A39" s="8">
        <v>36</v>
      </c>
      <c r="B39" s="8" t="s">
        <v>142</v>
      </c>
      <c r="C39" s="8" t="s">
        <v>169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142</v>
      </c>
      <c r="C40" s="8" t="s">
        <v>170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132</v>
      </c>
      <c r="C41" s="8" t="s">
        <v>171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132</v>
      </c>
      <c r="C42" s="8" t="s">
        <v>172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 x14ac:dyDescent="0.15">
      <c r="A43" s="8">
        <v>40</v>
      </c>
      <c r="B43" s="8" t="s">
        <v>132</v>
      </c>
      <c r="C43" s="8" t="s">
        <v>173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174</v>
      </c>
    </row>
    <row r="3" spans="1:2" x14ac:dyDescent="0.15">
      <c r="A3" s="2" t="s">
        <v>175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176</v>
      </c>
      <c r="B5" s="4">
        <v>52</v>
      </c>
    </row>
    <row r="6" spans="1:2" x14ac:dyDescent="0.15">
      <c r="A6" s="2" t="s">
        <v>177</v>
      </c>
      <c r="B6" s="4">
        <f>COUNTIF('Daily Plan'!G5:G56,"Done")</f>
        <v>46</v>
      </c>
    </row>
    <row r="7" spans="1:2" x14ac:dyDescent="0.15">
      <c r="A7" s="2" t="s">
        <v>178</v>
      </c>
      <c r="B7" s="4">
        <f>COUNTIF('Daily Plan'!G5:G56,"In Progress")</f>
        <v>0</v>
      </c>
    </row>
    <row r="8" spans="1:2" x14ac:dyDescent="0.15">
      <c r="A8" s="2" t="s">
        <v>179</v>
      </c>
      <c r="B8" s="4">
        <f>COUNTIF('Daily Plan'!G5:G56,"Not Started")</f>
        <v>6</v>
      </c>
    </row>
    <row r="9" spans="1:2" x14ac:dyDescent="0.15">
      <c r="A9" s="4"/>
      <c r="B9" s="4"/>
    </row>
    <row r="10" spans="1:2" x14ac:dyDescent="0.15">
      <c r="A10" s="2" t="s">
        <v>180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181</v>
      </c>
      <c r="B12" s="4">
        <f>COUNTIF('Daily Plan'!H5:H56,"&gt;0")</f>
        <v>46</v>
      </c>
    </row>
    <row r="13" spans="1:2" x14ac:dyDescent="0.15">
      <c r="A13" s="2" t="s">
        <v>182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2026-03-25T21:15:55Z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