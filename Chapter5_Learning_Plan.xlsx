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<sst xmlns="http://schemas.openxmlformats.org/spreadsheetml/2006/main" count="354" uniqueCount="177">
  <si>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</si>
  <si>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</si>
  <si>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</si>
  <si>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</si>
  <si>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</si>
  <si>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</si>
  <si>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</si>
  <si>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</si>
  <si>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</si>
  <si>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</si>
  <si>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</si>
  <si>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</si>
  <si>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</si>
  <si>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</si>
  <si>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</si>
  <si>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</si>
  <si>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</si>
  <si>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</si>
  <si>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</si>
  <si>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</si>
  <si>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</si>
  <si>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</si>
  <si>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</si>
  <si>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</si>
  <si>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</si>
  <si>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</si>
  <si>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</si>
  <si>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</si>
  <si>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</si>
  <si>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</si>
  <si>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</si>
  <si>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</si>
  <si>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</si>
  <si>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</si>
  <si>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</si>
  <si>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</si>
  <si>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</si>
  <si>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</si>
  <si>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</si>
  <si>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</si>
  <si>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</si>
  <si>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</si>
  <si>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</si>
  <si>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</si>
  <si>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</si>
  <si>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</si>
  <si>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</si>
  <si>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</si>
  <si>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</si>
  <si>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</si>
  <si>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</si>
  <si>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</si>
  <si>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</si>
  <si>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</si>
  <si>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</si>
  <si>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</si>
  <si>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</si>
  <si>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</si>
  <si>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</si>
  <si>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</si>
  <si>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</si>
  <si>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</si>
  <si>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</si>
  <si>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</si>
  <si>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</si>
  <si>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</si>
  <si>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</si>
  <si>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</si>
  <si>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</si>
  <si>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</si>
  <si>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</si>
  <si>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</si>
  <si>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</si>
  <si>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</si>
  <si>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</si>
  <si>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</si>
  <si>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</si>
  <si>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</si>
  <si>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</si>
  <si>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</si>
  <si>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</si>
  <si>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</si>
  <si>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</si>
  <si>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</si>
  <si>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</si>
  <si>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</si>
  <si>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</si>
  <si>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</si>
  <si>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</si>
  <si>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</si>
  <si>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</si>
  <si>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</si>
  <si>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</si>
  <si>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</si>
  <si>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</si>
  <si>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Not Started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</si>
  <si>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</si>
  <si>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</si>
  <si>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</si>
  <si>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</si>
  <si>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</si>
  <si>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</si>
  <si>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Exercises: Ex24 (L2)</t>
  </si>
  <si>
    <t>Exercises: Ex35 (L2)</t>
  </si>
  <si>
    <t>Exercises: Ex28 (L2)</t>
  </si>
  <si>
    <t>Exercises: Ex26 (L2)</t>
  </si>
  <si>
    <t>Exercises: Ex29 (L2)</t>
  </si>
  <si>
    <t>wrap</t>
  </si>
  <si>
    <t>Exercises: Ex32 (L2), Ex33 (L2), Ex34 (L2)</t>
  </si>
  <si>
    <t>Exercises: Ex31(a–d) (L2)</t>
  </si>
  <si>
    <t>Exercises: Ex31(e–g) (L2)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</si>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</sst>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sz val="11"/>
      <color theme="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6" fillId="18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2" fillId="12" borderId="3" applyNumberFormat="0" applyAlignment="0" applyProtection="0">
      <alignment vertical="center"/>
    </xf>
    <xf numFmtId="0" fontId="11" fillId="12" borderId="2" applyNumberFormat="0" applyAlignment="0" applyProtection="0">
      <alignment vertical="center"/>
    </xf>
    <xf numFmtId="0" fontId="22" fillId="30" borderId="8" applyNumberForma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E1" workbookViewId="0">
      <pane ySplit="4" topLeftCell="A27" activePane="bottomLeft" state="frozen"/>
      <selection/>
      <selection pane="bottomLeft" activeCell="J33" sqref="J33:J34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3">
        <f t="shared" si="1"/>
        <v>46084</v>
      </c>
      <c r="I34" s="8"/>
      <c r="J34" s="14" t="s">
        <v>90</v>
      </c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3">
        <f t="shared" si="1"/>
        <v>46085</v>
      </c>
      <c r="I35" s="8"/>
      <c r="J35" s="14" t="s">
        <v>93</v>
      </c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95</v>
      </c>
      <c r="H36" s="13" t="str">
        <f t="shared" si="1"/>
        <v/>
      </c>
      <c r="I36" s="8"/>
      <c r="J36" s="8"/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95</v>
      </c>
      <c r="H37" s="13" t="str">
        <f t="shared" ref="H37:H56" si="3">IF(G37="Done",B37+2,"")</f>
        <v/>
      </c>
      <c r="I37" s="8"/>
      <c r="J37" s="8"/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95</v>
      </c>
      <c r="H38" s="13" t="str">
        <f t="shared" si="3"/>
        <v/>
      </c>
      <c r="I38" s="8"/>
      <c r="J38" s="8"/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95</v>
      </c>
      <c r="H39" s="13" t="str">
        <f t="shared" si="3"/>
        <v/>
      </c>
      <c r="I39" s="8"/>
      <c r="J39" s="8"/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95</v>
      </c>
      <c r="H40" s="13" t="str">
        <f t="shared" si="3"/>
        <v/>
      </c>
      <c r="I40" s="8"/>
      <c r="J40" s="8"/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102</v>
      </c>
      <c r="F41" s="8">
        <v>60</v>
      </c>
      <c r="G41" s="8" t="s">
        <v>95</v>
      </c>
      <c r="H41" s="13" t="str">
        <f t="shared" si="3"/>
        <v/>
      </c>
      <c r="I41" s="8"/>
      <c r="J41" s="8"/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103</v>
      </c>
      <c r="F42" s="8">
        <v>75</v>
      </c>
      <c r="G42" s="8" t="s">
        <v>95</v>
      </c>
      <c r="H42" s="13" t="str">
        <f t="shared" si="3"/>
        <v/>
      </c>
      <c r="I42" s="8"/>
      <c r="J42" s="8"/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104</v>
      </c>
      <c r="F43" s="8">
        <v>60</v>
      </c>
      <c r="G43" s="8" t="s">
        <v>95</v>
      </c>
      <c r="H43" s="13" t="str">
        <f t="shared" si="3"/>
        <v/>
      </c>
      <c r="I43" s="8"/>
      <c r="J43" s="8"/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105</v>
      </c>
      <c r="F44" s="8">
        <v>60</v>
      </c>
      <c r="G44" s="8" t="s">
        <v>95</v>
      </c>
      <c r="H44" s="13" t="str">
        <f t="shared" si="3"/>
        <v/>
      </c>
      <c r="I44" s="8"/>
      <c r="J44" s="8"/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106</v>
      </c>
      <c r="F45" s="8">
        <v>60</v>
      </c>
      <c r="G45" s="8" t="s">
        <v>95</v>
      </c>
      <c r="H45" s="13" t="str">
        <f t="shared" si="3"/>
        <v/>
      </c>
      <c r="I45" s="8"/>
      <c r="J45" s="8"/>
      <c r="K45" s="8"/>
    </row>
    <row r="46" spans="1:11">
      <c r="A46" s="11">
        <v>42</v>
      </c>
      <c r="B46" s="12">
        <f t="shared" si="2"/>
        <v>46094</v>
      </c>
      <c r="C46" s="8" t="s">
        <v>107</v>
      </c>
      <c r="D46" s="8"/>
      <c r="E46" s="8" t="s">
        <v>108</v>
      </c>
      <c r="F46" s="8">
        <v>75</v>
      </c>
      <c r="G46" s="8" t="s">
        <v>95</v>
      </c>
      <c r="H46" s="13" t="str">
        <f t="shared" si="3"/>
        <v/>
      </c>
      <c r="I46" s="8"/>
      <c r="J46" s="8"/>
      <c r="K46" s="8"/>
    </row>
    <row r="47" spans="1:11">
      <c r="A47" s="11">
        <v>43</v>
      </c>
      <c r="B47" s="12">
        <f t="shared" si="2"/>
        <v>46095</v>
      </c>
      <c r="C47" s="8" t="s">
        <v>107</v>
      </c>
      <c r="D47" s="8"/>
      <c r="E47" s="8" t="s">
        <v>109</v>
      </c>
      <c r="F47" s="8">
        <v>90</v>
      </c>
      <c r="G47" s="8" t="s">
        <v>95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107</v>
      </c>
      <c r="D48" s="8"/>
      <c r="E48" s="8" t="s">
        <v>110</v>
      </c>
      <c r="F48" s="8">
        <v>90</v>
      </c>
      <c r="G48" s="8" t="s">
        <v>95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111</v>
      </c>
      <c r="F49" s="8">
        <v>60</v>
      </c>
      <c r="G49" s="8" t="s">
        <v>95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112</v>
      </c>
      <c r="F50" s="8">
        <v>60</v>
      </c>
      <c r="G50" s="8" t="s">
        <v>95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113</v>
      </c>
      <c r="F51" s="8">
        <v>90</v>
      </c>
      <c r="G51" s="8" t="s">
        <v>95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114</v>
      </c>
      <c r="F52" s="8">
        <v>60</v>
      </c>
      <c r="G52" s="8" t="s">
        <v>95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115</v>
      </c>
      <c r="F53" s="8">
        <v>90</v>
      </c>
      <c r="G53" s="8" t="s">
        <v>95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116</v>
      </c>
      <c r="F54" s="8">
        <v>90</v>
      </c>
      <c r="G54" s="8" t="s">
        <v>95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117</v>
      </c>
      <c r="F55" s="8">
        <v>60</v>
      </c>
      <c r="G55" s="8" t="s">
        <v>95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107</v>
      </c>
      <c r="D56" s="8"/>
      <c r="E56" s="8" t="s">
        <v>118</v>
      </c>
      <c r="F56" s="8">
        <v>45</v>
      </c>
      <c r="G56" s="8" t="s">
        <v>95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119</v>
      </c>
    </row>
    <row r="2" spans="1:2">
      <c r="A2" s="5" t="s">
        <v>120</v>
      </c>
      <c r="B2" s="6">
        <f>'Daily Plan'!B2</f>
        <v>46053</v>
      </c>
    </row>
    <row r="3" ht="27" spans="1:6">
      <c r="A3" s="7" t="s">
        <v>121</v>
      </c>
      <c r="B3" s="7" t="s">
        <v>122</v>
      </c>
      <c r="C3" s="7" t="s">
        <v>123</v>
      </c>
      <c r="D3" s="7" t="s">
        <v>124</v>
      </c>
      <c r="E3" s="7" t="s">
        <v>125</v>
      </c>
      <c r="F3" s="7" t="s">
        <v>13</v>
      </c>
    </row>
    <row r="4" spans="1:6">
      <c r="A4" s="8">
        <v>1</v>
      </c>
      <c r="B4" s="8" t="s">
        <v>126</v>
      </c>
      <c r="C4" s="8" t="s">
        <v>127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126</v>
      </c>
      <c r="C5" s="8" t="s">
        <v>128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126</v>
      </c>
      <c r="C6" s="8" t="s">
        <v>129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126</v>
      </c>
      <c r="C7" s="8" t="s">
        <v>128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126</v>
      </c>
      <c r="C8" s="8" t="s">
        <v>130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126</v>
      </c>
      <c r="C9" s="8" t="s">
        <v>131</v>
      </c>
      <c r="D9" s="8" t="str">
        <f>IF($B$2="","",TEXT($B$2+6-1,"yyyy-mm-dd")&amp;" – "&amp;TEXT($B$2+16-1,"yyyy-mm-dd"))</f>
        <v>2026-02-05 – 2026-02-15</v>
      </c>
      <c r="E9" s="8" t="s">
        <v>132</v>
      </c>
      <c r="F9" s="8"/>
    </row>
    <row r="10" spans="1:6">
      <c r="A10" s="8">
        <v>7</v>
      </c>
      <c r="B10" s="8" t="s">
        <v>126</v>
      </c>
      <c r="C10" s="8" t="s">
        <v>133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126</v>
      </c>
      <c r="C11" s="8" t="s">
        <v>134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126</v>
      </c>
      <c r="C12" s="8" t="s">
        <v>135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136</v>
      </c>
      <c r="C13" s="8" t="s">
        <v>137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126</v>
      </c>
      <c r="C14" s="8" t="s">
        <v>138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136</v>
      </c>
      <c r="C15" s="8" t="s">
        <v>139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136</v>
      </c>
      <c r="C16" s="8" t="s">
        <v>140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126</v>
      </c>
      <c r="C17" s="8" t="s">
        <v>141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126</v>
      </c>
      <c r="C18" s="8" t="s">
        <v>142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126</v>
      </c>
      <c r="C19" s="8" t="s">
        <v>143</v>
      </c>
      <c r="D19" s="8" t="str">
        <f>IF($B$2="","",TEXT($B$2+22-1,"yyyy-mm-dd")&amp;" – "&amp;TEXT($B$2+30-1,"yyyy-mm-dd"))</f>
        <v>2026-02-21 – 2026-03-01</v>
      </c>
      <c r="E19" s="8" t="s">
        <v>144</v>
      </c>
      <c r="F19" s="8"/>
    </row>
    <row r="20" spans="1:6">
      <c r="A20" s="8">
        <v>17</v>
      </c>
      <c r="B20" s="8" t="s">
        <v>126</v>
      </c>
      <c r="C20" s="8" t="s">
        <v>145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146</v>
      </c>
      <c r="C21" s="8" t="s">
        <v>147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136</v>
      </c>
      <c r="C22" s="8" t="s">
        <v>148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126</v>
      </c>
      <c r="C23" s="8" t="s">
        <v>149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126</v>
      </c>
      <c r="C24" s="8" t="s">
        <v>150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126</v>
      </c>
      <c r="C25" s="8" t="s">
        <v>151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126</v>
      </c>
      <c r="C26" s="8" t="s">
        <v>152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126</v>
      </c>
      <c r="C27" s="8" t="s">
        <v>153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146</v>
      </c>
      <c r="C28" s="8" t="s">
        <v>154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126</v>
      </c>
      <c r="C29" s="8" t="s">
        <v>155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146</v>
      </c>
      <c r="C30" s="8" t="s">
        <v>156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126</v>
      </c>
      <c r="C31" s="8" t="s">
        <v>157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126</v>
      </c>
      <c r="C32" s="8" t="s">
        <v>158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136</v>
      </c>
      <c r="C33" s="8" t="s">
        <v>159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126</v>
      </c>
      <c r="C34" s="8" t="s">
        <v>160</v>
      </c>
      <c r="D34" s="8" t="str">
        <f>IF($B$2="","",TEXT($B$2+43-1,"yyyy-mm-dd")&amp;" – "&amp;TEXT($B$2+44-1,"yyyy-mm-dd"))</f>
        <v>2026-03-14 – 2026-03-15</v>
      </c>
      <c r="E34" s="8" t="s">
        <v>107</v>
      </c>
      <c r="F34" s="8"/>
    </row>
    <row r="35" spans="1:6">
      <c r="A35" s="8">
        <v>32</v>
      </c>
      <c r="B35" s="8" t="s">
        <v>126</v>
      </c>
      <c r="C35" s="8" t="s">
        <v>161</v>
      </c>
      <c r="D35" s="8" t="str">
        <f>IF($B$2="","",TEXT($B$2+42-1,"yyyy-mm-dd"))</f>
        <v>2026-03-13</v>
      </c>
      <c r="E35" s="8" t="s">
        <v>107</v>
      </c>
      <c r="F35" s="8"/>
    </row>
    <row r="36" spans="1:6">
      <c r="A36" s="8">
        <v>33</v>
      </c>
      <c r="B36" s="8" t="s">
        <v>126</v>
      </c>
      <c r="C36" s="8" t="s">
        <v>161</v>
      </c>
      <c r="D36" s="8" t="str">
        <f>IF($B$2="","",TEXT($B$2+42-1,"yyyy-mm-dd"))</f>
        <v>2026-03-13</v>
      </c>
      <c r="E36" s="8" t="s">
        <v>107</v>
      </c>
      <c r="F36" s="8"/>
    </row>
    <row r="37" spans="1:6">
      <c r="A37" s="8">
        <v>34</v>
      </c>
      <c r="B37" s="8" t="s">
        <v>126</v>
      </c>
      <c r="C37" s="8" t="s">
        <v>161</v>
      </c>
      <c r="D37" s="8" t="str">
        <f>IF($B$2="","",TEXT($B$2+42-1,"yyyy-mm-dd"))</f>
        <v>2026-03-13</v>
      </c>
      <c r="E37" s="8" t="s">
        <v>107</v>
      </c>
      <c r="F37" s="8"/>
    </row>
    <row r="38" spans="1:6">
      <c r="A38" s="8">
        <v>35</v>
      </c>
      <c r="B38" s="8" t="s">
        <v>126</v>
      </c>
      <c r="C38" s="8" t="s">
        <v>162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136</v>
      </c>
      <c r="C39" s="8" t="s">
        <v>163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136</v>
      </c>
      <c r="C40" s="8" t="s">
        <v>164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126</v>
      </c>
      <c r="C41" s="8" t="s">
        <v>165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126</v>
      </c>
      <c r="C42" s="8" t="s">
        <v>166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126</v>
      </c>
      <c r="C43" s="8" t="s">
        <v>167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168</v>
      </c>
    </row>
    <row r="3" spans="1:2">
      <c r="A3" s="2" t="s">
        <v>169</v>
      </c>
      <c r="B3" s="3">
        <f>'Daily Plan'!B2</f>
        <v>46053</v>
      </c>
    </row>
    <row r="4" spans="1:2">
      <c r="A4" s="4"/>
      <c r="B4" s="4"/>
    </row>
    <row r="5" spans="1:2">
      <c r="A5" s="2" t="s">
        <v>170</v>
      </c>
      <c r="B5" s="4">
        <v>52</v>
      </c>
    </row>
    <row r="6" spans="1:2">
      <c r="A6" s="2" t="s">
        <v>171</v>
      </c>
      <c r="B6" s="4">
        <f>COUNTIF('Daily Plan'!G5:G56,"Done")</f>
        <v>31</v>
      </c>
    </row>
    <row r="7" spans="1:2">
      <c r="A7" s="2" t="s">
        <v>172</v>
      </c>
      <c r="B7" s="4">
        <f>COUNTIF('Daily Plan'!G5:G56,"In Progress")</f>
        <v>0</v>
      </c>
    </row>
    <row r="8" spans="1:2">
      <c r="A8" s="2" t="s">
        <v>173</v>
      </c>
      <c r="B8" s="4">
        <f>COUNTIF('Daily Plan'!G5:G56,"Not Started")</f>
        <v>21</v>
      </c>
    </row>
    <row r="9" spans="1:2">
      <c r="A9" s="4"/>
      <c r="B9" s="4"/>
    </row>
    <row r="10" spans="1:2">
      <c r="A10" s="2" t="s">
        <v>174</v>
      </c>
      <c r="B10" s="4">
        <v>40</v>
      </c>
    </row>
    <row r="11" spans="1:2">
      <c r="A11" s="4"/>
      <c r="B11" s="4"/>
    </row>
    <row r="12" spans="1:2">
      <c r="A12" s="2" t="s">
        <v>175</v>
      </c>
      <c r="B12" s="4">
        <f>COUNTIF('Daily Plan'!H5:H56,"&gt;0")</f>
        <v>31</v>
      </c>
    </row>
    <row r="13" spans="1:2">
      <c r="A13" s="2" t="s">
        <v>176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2026-03-11T07:36:48Z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