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6" documentId="11_0473CADABC03135558BEBFE63FE93A2CB1474B28" xr6:coauthVersionLast="47" xr6:coauthVersionMax="47" xr10:uidLastSave="{34E6B3B7-3E96-480F-9238-1EF5B3687A30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<sst xmlns="http://schemas.openxmlformats.org/spreadsheetml/2006/main" count="338" uniqueCount="162">
  <si>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</si>
  <si>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</si>
  <si>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</si>
  <si>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</si>
  <si>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</si>
  <si>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</si>
  <si>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</si>
  <si>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</si>
  <si>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</si>
  <si>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</si>
  <si>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</si>
  <si>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</si>
  <si>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</si>
  <si>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</si>
  <si>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</si>
  <si>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</si>
  <si>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</si>
  <si>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</si>
  <si>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</si>
  <si>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</si>
  <si>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</si>
  <si>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</si>
  <si>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</si>
  <si>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</si>
  <si>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</si>
  <si>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</si>
  <si>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</si>
  <si>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</si>
  <si>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</si>
  <si>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</si>
  <si>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</si>
  <si>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</si>
  <si>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</si>
  <si>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</si>
  <si>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</si>
  <si>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</si>
  <si>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</si>
  <si>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</si>
  <si>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</si>
  <si>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</si>
  <si>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</si>
  <si>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</si>
  <si>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</si>
  <si>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</si>
  <si>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</si>
  <si>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</si>
  <si>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</si>
  <si>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</si>
  <si>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</si>
  <si>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In Progress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</si>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</sst>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8" activePane="bottomLeft" state="frozen"/>
      <selection pane="bottomLeft" activeCell="I21" sqref="I21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161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49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49</v>
      </c>
      <c r="H19" s="12" t="str">
        <f t="shared" si="1"/>
        <v/>
      </c>
      <c r="I19" s="8"/>
      <c r="J19" s="8" t="s">
        <v>50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51</v>
      </c>
      <c r="F20" s="8">
        <v>60</v>
      </c>
      <c r="G20" s="8" t="s">
        <v>44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52</v>
      </c>
      <c r="D21" s="8" t="s">
        <v>53</v>
      </c>
      <c r="E21" s="8" t="s">
        <v>54</v>
      </c>
      <c r="F21" s="8">
        <v>75</v>
      </c>
      <c r="G21" s="8" t="s">
        <v>44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52</v>
      </c>
      <c r="D22" s="8"/>
      <c r="E22" s="8" t="s">
        <v>55</v>
      </c>
      <c r="F22" s="8">
        <v>90</v>
      </c>
      <c r="G22" s="8" t="s">
        <v>44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52</v>
      </c>
      <c r="D23" s="8"/>
      <c r="E23" s="8" t="s">
        <v>56</v>
      </c>
      <c r="F23" s="8">
        <v>90</v>
      </c>
      <c r="G23" s="8" t="s">
        <v>44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52</v>
      </c>
      <c r="D24" s="8"/>
      <c r="E24" s="8" t="s">
        <v>57</v>
      </c>
      <c r="F24" s="8">
        <v>90</v>
      </c>
      <c r="G24" s="8" t="s">
        <v>44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58</v>
      </c>
      <c r="D25" s="8"/>
      <c r="E25" s="8" t="s">
        <v>59</v>
      </c>
      <c r="F25" s="8">
        <v>60</v>
      </c>
      <c r="G25" s="8" t="s">
        <v>44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60</v>
      </c>
      <c r="D26" s="8" t="s">
        <v>61</v>
      </c>
      <c r="E26" s="8" t="s">
        <v>62</v>
      </c>
      <c r="F26" s="8">
        <v>75</v>
      </c>
      <c r="G26" s="8" t="s">
        <v>44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60</v>
      </c>
      <c r="D27" s="8"/>
      <c r="E27" s="8" t="s">
        <v>63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64</v>
      </c>
      <c r="D28" s="8" t="s">
        <v>65</v>
      </c>
      <c r="E28" s="8" t="s">
        <v>66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64</v>
      </c>
      <c r="D29" s="8"/>
      <c r="E29" s="8" t="s">
        <v>67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64</v>
      </c>
      <c r="D30" s="8"/>
      <c r="E30" s="8" t="s">
        <v>68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69</v>
      </c>
      <c r="D31" s="8"/>
      <c r="E31" s="8" t="s">
        <v>70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71</v>
      </c>
      <c r="D32" s="8"/>
      <c r="E32" s="8" t="s">
        <v>72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73</v>
      </c>
      <c r="D33" s="8" t="s">
        <v>74</v>
      </c>
      <c r="E33" s="8" t="s">
        <v>75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73</v>
      </c>
      <c r="D34" s="8"/>
      <c r="E34" s="8" t="s">
        <v>76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77</v>
      </c>
      <c r="D35" s="8"/>
      <c r="E35" s="8" t="s">
        <v>78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69</v>
      </c>
      <c r="D36" s="8"/>
      <c r="E36" s="8" t="s">
        <v>79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69</v>
      </c>
      <c r="D37" s="8" t="s">
        <v>80</v>
      </c>
      <c r="E37" s="8" t="s">
        <v>81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69</v>
      </c>
      <c r="D38" s="8" t="s">
        <v>82</v>
      </c>
      <c r="E38" s="8" t="s">
        <v>83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69</v>
      </c>
      <c r="D39" s="8"/>
      <c r="E39" s="8" t="s">
        <v>84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69</v>
      </c>
      <c r="D40" s="8"/>
      <c r="E40" s="8" t="s">
        <v>85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86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69</v>
      </c>
      <c r="D42" s="8"/>
      <c r="E42" s="8" t="s">
        <v>87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88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71</v>
      </c>
      <c r="D44" s="8"/>
      <c r="E44" s="8" t="s">
        <v>89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90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91</v>
      </c>
      <c r="D46" s="8"/>
      <c r="E46" s="8" t="s">
        <v>92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91</v>
      </c>
      <c r="D47" s="8"/>
      <c r="E47" s="8" t="s">
        <v>93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91</v>
      </c>
      <c r="D48" s="8"/>
      <c r="E48" s="8" t="s">
        <v>94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71</v>
      </c>
      <c r="D49" s="8"/>
      <c r="E49" s="8" t="s">
        <v>95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71</v>
      </c>
      <c r="D50" s="8"/>
      <c r="E50" s="8" t="s">
        <v>96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97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69</v>
      </c>
      <c r="D52" s="8"/>
      <c r="E52" s="8" t="s">
        <v>98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69</v>
      </c>
      <c r="D53" s="8"/>
      <c r="E53" s="8" t="s">
        <v>99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69</v>
      </c>
      <c r="D54" s="8"/>
      <c r="E54" s="8" t="s">
        <v>100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52</v>
      </c>
      <c r="D55" s="8"/>
      <c r="E55" s="8" t="s">
        <v>101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91</v>
      </c>
      <c r="D56" s="8"/>
      <c r="E56" s="8" t="s">
        <v>102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103</v>
      </c>
      <c r="B1" s="15"/>
      <c r="C1" s="15"/>
      <c r="D1" s="15"/>
      <c r="E1" s="15"/>
      <c r="F1" s="15"/>
    </row>
    <row r="2" spans="1:6" x14ac:dyDescent="0.15">
      <c r="A2" s="5" t="s">
        <v>104</v>
      </c>
      <c r="B2" s="6">
        <f>'Daily Plan'!B2</f>
        <v>46053</v>
      </c>
    </row>
    <row r="3" spans="1:6" ht="27" x14ac:dyDescent="0.15">
      <c r="A3" s="7" t="s">
        <v>105</v>
      </c>
      <c r="B3" s="7" t="s">
        <v>106</v>
      </c>
      <c r="C3" s="7" t="s">
        <v>107</v>
      </c>
      <c r="D3" s="7" t="s">
        <v>108</v>
      </c>
      <c r="E3" s="7" t="s">
        <v>109</v>
      </c>
      <c r="F3" s="7" t="s">
        <v>13</v>
      </c>
    </row>
    <row r="4" spans="1:6" x14ac:dyDescent="0.15">
      <c r="A4" s="8">
        <v>1</v>
      </c>
      <c r="B4" s="8" t="s">
        <v>110</v>
      </c>
      <c r="C4" s="8" t="s">
        <v>111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110</v>
      </c>
      <c r="C5" s="8" t="s">
        <v>112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110</v>
      </c>
      <c r="C6" s="8" t="s">
        <v>113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110</v>
      </c>
      <c r="C7" s="8" t="s">
        <v>112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110</v>
      </c>
      <c r="C8" s="8" t="s">
        <v>114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110</v>
      </c>
      <c r="C9" s="8" t="s">
        <v>115</v>
      </c>
      <c r="D9" s="8" t="str">
        <f>IF($B$2="","",TEXT($B$2+6-1,"yyyy-mm-dd")&amp;" – "&amp;TEXT($B$2+16-1,"yyyy-mm-dd"))</f>
        <v>2026-02-05 – 2026-02-15</v>
      </c>
      <c r="E9" s="8" t="s">
        <v>116</v>
      </c>
      <c r="F9" s="8"/>
    </row>
    <row r="10" spans="1:6" x14ac:dyDescent="0.15">
      <c r="A10" s="8">
        <v>7</v>
      </c>
      <c r="B10" s="8" t="s">
        <v>110</v>
      </c>
      <c r="C10" s="8" t="s">
        <v>117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110</v>
      </c>
      <c r="C11" s="8" t="s">
        <v>118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110</v>
      </c>
      <c r="C12" s="8" t="s">
        <v>119</v>
      </c>
      <c r="D12" s="8" t="str">
        <f>IF($B$2="","",TEXT($B$2+48-1,"yyyy-mm-dd"))</f>
        <v>2026-03-19</v>
      </c>
      <c r="E12" s="8" t="s">
        <v>69</v>
      </c>
      <c r="F12" s="8"/>
    </row>
    <row r="13" spans="1:6" x14ac:dyDescent="0.15">
      <c r="A13" s="8">
        <v>10</v>
      </c>
      <c r="B13" s="8" t="s">
        <v>120</v>
      </c>
      <c r="C13" s="8" t="s">
        <v>121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110</v>
      </c>
      <c r="C14" s="8" t="s">
        <v>122</v>
      </c>
      <c r="D14" s="8" t="str">
        <f>IF($B$2="","",TEXT($B$2+31-1,"yyyy-mm-dd"))</f>
        <v>2026-03-02</v>
      </c>
      <c r="E14" s="8" t="s">
        <v>77</v>
      </c>
      <c r="F14" s="8"/>
    </row>
    <row r="15" spans="1:6" ht="27" x14ac:dyDescent="0.15">
      <c r="A15" s="8">
        <v>12</v>
      </c>
      <c r="B15" s="8" t="s">
        <v>120</v>
      </c>
      <c r="C15" s="8" t="s">
        <v>123</v>
      </c>
      <c r="D15" s="8" t="str">
        <f>IF($B$2="","",TEXT($B$2+25-1,"yyyy-mm-dd")&amp;" – "&amp;TEXT($B$2+26-1,"yyyy-mm-dd"))</f>
        <v>2026-02-24 – 2026-02-25</v>
      </c>
      <c r="E15" s="8" t="s">
        <v>64</v>
      </c>
      <c r="F15" s="8"/>
    </row>
    <row r="16" spans="1:6" x14ac:dyDescent="0.15">
      <c r="A16" s="8">
        <v>13</v>
      </c>
      <c r="B16" s="8" t="s">
        <v>120</v>
      </c>
      <c r="C16" s="8" t="s">
        <v>124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110</v>
      </c>
      <c r="C17" s="8" t="s">
        <v>125</v>
      </c>
      <c r="D17" s="8" t="str">
        <f>IF($B$2="","",TEXT($B$2+17-1,"yyyy-mm-dd"))</f>
        <v>2026-02-16</v>
      </c>
      <c r="E17" s="8" t="s">
        <v>52</v>
      </c>
      <c r="F17" s="8"/>
    </row>
    <row r="18" spans="1:6" x14ac:dyDescent="0.15">
      <c r="A18" s="8">
        <v>15</v>
      </c>
      <c r="B18" s="8" t="s">
        <v>110</v>
      </c>
      <c r="C18" s="8" t="s">
        <v>126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110</v>
      </c>
      <c r="C19" s="8" t="s">
        <v>127</v>
      </c>
      <c r="D19" s="8" t="str">
        <f>IF($B$2="","",TEXT($B$2+22-1,"yyyy-mm-dd")&amp;" – "&amp;TEXT($B$2+30-1,"yyyy-mm-dd"))</f>
        <v>2026-02-21 – 2026-03-01</v>
      </c>
      <c r="E19" s="8" t="s">
        <v>128</v>
      </c>
      <c r="F19" s="8"/>
    </row>
    <row r="20" spans="1:6" x14ac:dyDescent="0.15">
      <c r="A20" s="8">
        <v>17</v>
      </c>
      <c r="B20" s="8" t="s">
        <v>110</v>
      </c>
      <c r="C20" s="8" t="s">
        <v>129</v>
      </c>
      <c r="D20" s="8" t="str">
        <f>IF($B$2="","",TEXT($B$2+27-1,"yyyy-mm-dd"))</f>
        <v>2026-02-26</v>
      </c>
      <c r="E20" s="8" t="s">
        <v>69</v>
      </c>
      <c r="F20" s="8"/>
    </row>
    <row r="21" spans="1:6" x14ac:dyDescent="0.15">
      <c r="A21" s="8">
        <v>18</v>
      </c>
      <c r="B21" s="8" t="s">
        <v>130</v>
      </c>
      <c r="C21" s="8" t="s">
        <v>131</v>
      </c>
      <c r="D21" s="8" t="str">
        <f>IF($B$2="","",TEXT($B$2+23-1,"yyyy-mm-dd"))</f>
        <v>2026-02-22</v>
      </c>
      <c r="E21" s="8" t="s">
        <v>60</v>
      </c>
      <c r="F21" s="8"/>
    </row>
    <row r="22" spans="1:6" x14ac:dyDescent="0.15">
      <c r="A22" s="8">
        <v>19</v>
      </c>
      <c r="B22" s="8" t="s">
        <v>120</v>
      </c>
      <c r="C22" s="8" t="s">
        <v>132</v>
      </c>
      <c r="D22" s="8" t="str">
        <f>IF($B$2="","",TEXT($B$2+32-1,"yyyy-mm-dd"))</f>
        <v>2026-03-03</v>
      </c>
      <c r="E22" s="8" t="s">
        <v>69</v>
      </c>
      <c r="F22" s="8"/>
    </row>
    <row r="23" spans="1:6" ht="27" x14ac:dyDescent="0.15">
      <c r="A23" s="8">
        <v>20</v>
      </c>
      <c r="B23" s="8" t="s">
        <v>110</v>
      </c>
      <c r="C23" s="8" t="s">
        <v>133</v>
      </c>
      <c r="D23" s="8" t="str">
        <f>IF($B$2="","",TEXT($B$2+18-1,"yyyy-mm-dd")&amp;" – "&amp;TEXT($B$2+20-1,"yyyy-mm-dd"))</f>
        <v>2026-02-17 – 2026-02-19</v>
      </c>
      <c r="E23" s="8" t="s">
        <v>52</v>
      </c>
      <c r="F23" s="8"/>
    </row>
    <row r="24" spans="1:6" x14ac:dyDescent="0.15">
      <c r="A24" s="8">
        <v>21</v>
      </c>
      <c r="B24" s="8" t="s">
        <v>110</v>
      </c>
      <c r="C24" s="8" t="s">
        <v>134</v>
      </c>
      <c r="D24" s="8" t="str">
        <f>IF($B$2="","",TEXT($B$2+21-1,"yyyy-mm-dd"))</f>
        <v>2026-02-20</v>
      </c>
      <c r="E24" s="8" t="s">
        <v>58</v>
      </c>
      <c r="F24" s="8"/>
    </row>
    <row r="25" spans="1:6" ht="27" x14ac:dyDescent="0.15">
      <c r="A25" s="8">
        <v>22</v>
      </c>
      <c r="B25" s="8" t="s">
        <v>110</v>
      </c>
      <c r="C25" s="8" t="s">
        <v>135</v>
      </c>
      <c r="D25" s="8" t="str">
        <f>IF($B$2="","",TEXT($B$2+33-1,"yyyy-mm-dd")&amp;" – "&amp;TEXT($B$2+36-1,"yyyy-mm-dd"))</f>
        <v>2026-03-04 – 2026-03-07</v>
      </c>
      <c r="E25" s="8" t="s">
        <v>69</v>
      </c>
      <c r="F25" s="8"/>
    </row>
    <row r="26" spans="1:6" x14ac:dyDescent="0.15">
      <c r="A26" s="8">
        <v>23</v>
      </c>
      <c r="B26" s="8" t="s">
        <v>110</v>
      </c>
      <c r="C26" s="8" t="s">
        <v>136</v>
      </c>
      <c r="D26" s="8" t="str">
        <f>IF($B$2="","",TEXT($B$2+24-1,"yyyy-mm-dd"))</f>
        <v>2026-02-23</v>
      </c>
      <c r="E26" s="8" t="s">
        <v>64</v>
      </c>
      <c r="F26" s="8"/>
    </row>
    <row r="27" spans="1:6" x14ac:dyDescent="0.15">
      <c r="A27" s="8">
        <v>24</v>
      </c>
      <c r="B27" s="8" t="s">
        <v>110</v>
      </c>
      <c r="C27" s="8" t="s">
        <v>137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130</v>
      </c>
      <c r="C28" s="8" t="s">
        <v>138</v>
      </c>
      <c r="D28" s="8" t="str">
        <f>IF($B$2="","",TEXT($B$2+45-1,"yyyy-mm-dd")&amp;" – "&amp;TEXT($B$2+46-1,"yyyy-mm-dd"))</f>
        <v>2026-03-16 – 2026-03-17</v>
      </c>
      <c r="E28" s="8" t="s">
        <v>71</v>
      </c>
      <c r="F28" s="8"/>
    </row>
    <row r="29" spans="1:6" x14ac:dyDescent="0.15">
      <c r="A29" s="8">
        <v>26</v>
      </c>
      <c r="B29" s="8" t="s">
        <v>110</v>
      </c>
      <c r="C29" s="8" t="s">
        <v>139</v>
      </c>
      <c r="D29" s="8" t="str">
        <f>IF($B$2="","",TEXT($B$2+40-1,"yyyy-mm-dd"))</f>
        <v>2026-03-11</v>
      </c>
      <c r="E29" s="8" t="s">
        <v>71</v>
      </c>
      <c r="F29" s="8"/>
    </row>
    <row r="30" spans="1:6" x14ac:dyDescent="0.15">
      <c r="A30" s="8">
        <v>27</v>
      </c>
      <c r="B30" s="8" t="s">
        <v>130</v>
      </c>
      <c r="C30" s="8" t="s">
        <v>140</v>
      </c>
      <c r="D30" s="8" t="str">
        <f>IF($B$2="","",TEXT($B$2+28-1,"yyyy-mm-dd"))</f>
        <v>2026-02-27</v>
      </c>
      <c r="E30" s="8" t="s">
        <v>71</v>
      </c>
      <c r="F30" s="8"/>
    </row>
    <row r="31" spans="1:6" x14ac:dyDescent="0.15">
      <c r="A31" s="8">
        <v>28</v>
      </c>
      <c r="B31" s="8" t="s">
        <v>110</v>
      </c>
      <c r="C31" s="8" t="s">
        <v>141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110</v>
      </c>
      <c r="C32" s="8" t="s">
        <v>142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120</v>
      </c>
      <c r="C33" s="8" t="s">
        <v>143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110</v>
      </c>
      <c r="C34" s="8" t="s">
        <v>144</v>
      </c>
      <c r="D34" s="8" t="str">
        <f>IF($B$2="","",TEXT($B$2+43-1,"yyyy-mm-dd")&amp;" – "&amp;TEXT($B$2+44-1,"yyyy-mm-dd"))</f>
        <v>2026-03-14 – 2026-03-15</v>
      </c>
      <c r="E34" s="8" t="s">
        <v>91</v>
      </c>
      <c r="F34" s="8"/>
    </row>
    <row r="35" spans="1:6" x14ac:dyDescent="0.15">
      <c r="A35" s="8">
        <v>32</v>
      </c>
      <c r="B35" s="8" t="s">
        <v>110</v>
      </c>
      <c r="C35" s="8" t="s">
        <v>145</v>
      </c>
      <c r="D35" s="8" t="str">
        <f>IF($B$2="","",TEXT($B$2+42-1,"yyyy-mm-dd"))</f>
        <v>2026-03-13</v>
      </c>
      <c r="E35" s="8" t="s">
        <v>91</v>
      </c>
      <c r="F35" s="8"/>
    </row>
    <row r="36" spans="1:6" x14ac:dyDescent="0.15">
      <c r="A36" s="8">
        <v>33</v>
      </c>
      <c r="B36" s="8" t="s">
        <v>110</v>
      </c>
      <c r="C36" s="8" t="s">
        <v>145</v>
      </c>
      <c r="D36" s="8" t="str">
        <f>IF($B$2="","",TEXT($B$2+42-1,"yyyy-mm-dd"))</f>
        <v>2026-03-13</v>
      </c>
      <c r="E36" s="8" t="s">
        <v>91</v>
      </c>
      <c r="F36" s="8"/>
    </row>
    <row r="37" spans="1:6" x14ac:dyDescent="0.15">
      <c r="A37" s="8">
        <v>34</v>
      </c>
      <c r="B37" s="8" t="s">
        <v>110</v>
      </c>
      <c r="C37" s="8" t="s">
        <v>145</v>
      </c>
      <c r="D37" s="8" t="str">
        <f>IF($B$2="","",TEXT($B$2+42-1,"yyyy-mm-dd"))</f>
        <v>2026-03-13</v>
      </c>
      <c r="E37" s="8" t="s">
        <v>91</v>
      </c>
      <c r="F37" s="8"/>
    </row>
    <row r="38" spans="1:6" x14ac:dyDescent="0.15">
      <c r="A38" s="8">
        <v>35</v>
      </c>
      <c r="B38" s="8" t="s">
        <v>110</v>
      </c>
      <c r="C38" s="8" t="s">
        <v>146</v>
      </c>
      <c r="D38" s="8" t="str">
        <f>IF($B$2="","",TEXT($B$2+38-1,"yyyy-mm-dd"))</f>
        <v>2026-03-09</v>
      </c>
      <c r="E38" s="8" t="s">
        <v>69</v>
      </c>
      <c r="F38" s="8"/>
    </row>
    <row r="39" spans="1:6" x14ac:dyDescent="0.15">
      <c r="A39" s="8">
        <v>36</v>
      </c>
      <c r="B39" s="8" t="s">
        <v>120</v>
      </c>
      <c r="C39" s="8" t="s">
        <v>147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120</v>
      </c>
      <c r="C40" s="8" t="s">
        <v>148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110</v>
      </c>
      <c r="C41" s="8" t="s">
        <v>149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110</v>
      </c>
      <c r="C42" s="8" t="s">
        <v>150</v>
      </c>
      <c r="D42" s="8" t="str">
        <f>IF($B$2="","",TEXT($B$2+49-1,"yyyy-mm-dd")&amp;" – "&amp;TEXT($B$2+50-1,"yyyy-mm-dd"))</f>
        <v>2026-03-20 – 2026-03-21</v>
      </c>
      <c r="E42" s="8" t="s">
        <v>69</v>
      </c>
      <c r="F42" s="8"/>
    </row>
    <row r="43" spans="1:6" x14ac:dyDescent="0.15">
      <c r="A43" s="8">
        <v>40</v>
      </c>
      <c r="B43" s="8" t="s">
        <v>110</v>
      </c>
      <c r="C43" s="8" t="s">
        <v>151</v>
      </c>
      <c r="D43" s="8" t="str">
        <f>IF($B$2="","",TEXT($B$2+51-1,"yyyy-mm-dd"))</f>
        <v>2026-03-22</v>
      </c>
      <c r="E43" s="8" t="s">
        <v>52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152</v>
      </c>
    </row>
    <row r="3" spans="1:2" x14ac:dyDescent="0.15">
      <c r="A3" s="2" t="s">
        <v>153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154</v>
      </c>
      <c r="B5" s="4">
        <v>52</v>
      </c>
    </row>
    <row r="6" spans="1:2" x14ac:dyDescent="0.15">
      <c r="A6" s="2" t="s">
        <v>155</v>
      </c>
      <c r="B6" s="4">
        <f>COUNTIF('Daily Plan'!G5:G56,"Done")</f>
        <v>13</v>
      </c>
    </row>
    <row r="7" spans="1:2" x14ac:dyDescent="0.15">
      <c r="A7" s="2" t="s">
        <v>156</v>
      </c>
      <c r="B7" s="4">
        <f>COUNTIF('Daily Plan'!G5:G56,"In Progress")</f>
        <v>2</v>
      </c>
    </row>
    <row r="8" spans="1:2" x14ac:dyDescent="0.15">
      <c r="A8" s="2" t="s">
        <v>157</v>
      </c>
      <c r="B8" s="4">
        <f>COUNTIF('Daily Plan'!G5:G56,"Not Started")</f>
        <v>37</v>
      </c>
    </row>
    <row r="9" spans="1:2" x14ac:dyDescent="0.15">
      <c r="A9" s="4"/>
      <c r="B9" s="4"/>
    </row>
    <row r="10" spans="1:2" x14ac:dyDescent="0.15">
      <c r="A10" s="2" t="s">
        <v>158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159</v>
      </c>
      <c r="B12" s="4">
        <f>COUNTIF('Daily Plan'!H5:H56,"&gt;0")</f>
        <v>13</v>
      </c>
    </row>
    <row r="13" spans="1:2" x14ac:dyDescent="0.15">
      <c r="A13" s="2" t="s">
        <v>160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2026-02-11T23:08:53Z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