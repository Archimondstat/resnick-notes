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21" documentId="11_318C703A9E7610187CACADA6FFC7A1317313BD0C" xr6:coauthVersionLast="47" xr6:coauthVersionMax="47" xr10:uidLastSave="{B501149E-0FEA-4A49-8391-3B874262A7C6}"/>
  <bookViews>
    <workbookView xWindow="0" yWindow="3225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0" i="2"/>
  <c r="D39" i="2"/>
  <c r="D38" i="2"/>
  <c r="D37" i="2"/>
  <c r="D36" i="2"/>
  <c r="D33" i="2"/>
  <c r="D30" i="2"/>
  <c r="D29" i="2"/>
  <c r="D28" i="2"/>
  <c r="D27" i="2"/>
  <c r="D26" i="2"/>
  <c r="D25" i="2"/>
  <c r="D22" i="2"/>
  <c r="D20" i="2"/>
  <c r="D19" i="2"/>
  <c r="D18" i="2"/>
  <c r="D17" i="2"/>
  <c r="D16" i="2"/>
  <c r="D13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B9" i="1"/>
  <c r="H9" i="1" s="1"/>
  <c r="B8" i="1"/>
  <c r="H8" i="1" s="1"/>
  <c r="B7" i="1"/>
  <c r="H7" i="1" s="1"/>
  <c r="H6" i="1"/>
  <c r="B6" i="1"/>
  <c r="B5" i="1"/>
  <c r="H5" i="1" s="1"/>
  <c r="B12" i="3" l="1"/>
  <c r="D11" i="2"/>
  <c r="D31" i="2"/>
  <c r="D12" i="2"/>
  <c r="D32" i="2"/>
  <c r="D14" i="2"/>
  <c r="D34" i="2"/>
  <c r="D15" i="2"/>
  <c r="D35" i="2"/>
  <c r="D21" i="2"/>
  <c r="D41" i="2"/>
  <c r="D23" i="2"/>
  <c r="D43" i="2"/>
  <c r="D4" i="2"/>
</calcChain>
</file>

<file path=xl/sharedStrings.xml><?xml version="1.0" encoding="utf-8"?>
<sst xmlns="http://schemas.openxmlformats.org/spreadsheetml/2006/main" count="333" uniqueCount="158">
  <si>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</si>
  <si>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</si>
  <si>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</si>
  <si>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</si>
  <si>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</si>
  <si>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</si>
  <si>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</si>
  <si>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</si>
  <si>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</si>
  <si>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</si>
  <si>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</si>
  <si>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</si>
  <si>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</si>
  <si>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</si>
  <si>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</si>
  <si>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</si>
  <si>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</si>
  <si>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</si>
  <si>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</si>
  <si>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</si>
  <si>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</si>
  <si>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</si>
  <si>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</si>
  <si>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</si>
  <si>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</si>
  <si>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</si>
  <si>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</si>
  <si>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</si>
  <si>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Exercises: Ex10 (L1) + 10-min recap note</t>
  </si>
  <si>
    <t>Not Started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</si>
  <si>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</si>
  <si>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</si>
  <si>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</si>
  <si>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</si>
  <si>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</si>
  <si>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</si>
  <si>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</si>
  <si>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</si>
  <si>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</si>
  <si>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</si>
  <si>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</si>
  <si>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</si>
  <si>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</si>
  <si>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</si>
  <si>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</si>
  <si>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</si>
  <si>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</si>
  <si>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</si>
  <si>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</si>
  <si>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</si>
  <si>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</si>
  <si>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</si>
  <si>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</si>
  <si>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</si>
  <si>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</si>
  <si>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</si>
  <si>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</si>
  <si>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</si>
  <si>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</si>
  <si>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</si>
  <si>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</si>
  <si>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</si>
  <si>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</si>
  <si>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</si>
  <si>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</si>
  <si>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</si>
  <si>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</si>
  <si>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</si>
  <si>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</si>
  <si>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</si>
  <si>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</si>
  <si>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</si>
  <si>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</si>
  <si>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</si>
  <si>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</si>
  <si>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</si>
  <si>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</si>
  <si>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</si>
  <si>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</si>
  <si>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</si>
  <si>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</si>
  <si>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</si>
  <si>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</si>
  <si>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</si>
  <si>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</si>
  <si>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</si>
  <si>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</si>
  <si>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</si>
  <si>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</si>
  <si>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</si>
  <si>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</si>
  <si>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</si>
  <si>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</si>
  <si>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</si>
  <si>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</si>
  <si>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</si>
  <si>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</si>
  <si>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</si>
  <si>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</si>
  <si>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</si>
  <si>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</si>
  <si>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</si>
  <si>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</si>
  <si>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</si>
  <si>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</si>
  <si>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</si>
  <si>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</si>
  <si>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</si>
  <si>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</si>
  <si>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</si>
  <si>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</si>
  <si>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</si>
  <si>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</si>
  <si>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</si>
  <si>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</si>
  <si>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</si>
  <si>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</si>
  <si>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</si>
  <si>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</si>
  <si>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</si>
  <si>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</si>
  <si>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</si>
  <si>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</si>
  <si>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</si>
  <si>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</si>
  <si>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</si>
  <si>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</si>
  <si>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</si>
  <si>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</si>
  <si>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</si>
  <si>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</si>
  <si>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</si>
  <si>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</si>
  <si>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</si>
  <si>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</si>
  <si>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</si>
  <si>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</si>
  <si>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</si>
  <si>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</si>
  <si>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</si>
  <si>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</si>
  <si>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</si>
  <si>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</si>
  <si>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</si>
  <si>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</si>
  <si>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</si>
  <si>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</si>
  <si>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</si>
  <si>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</si>
  <si>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</si>
  <si>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</si>
  <si>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</si>
  <si>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</si>
  <si>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2026-02-05</t>
    <phoneticPr fontId="5" type="noConversion"/>
  </si>
  <si>
    <t>(a)(b): 2026-02-04, © 2026-02-05</t>
    <phoneticPr fontId="5" type="noConversion"/>
  </si>
  <si>
    <t>Actual done: 2026-02-06</t>
    <phoneticPr fontId="5" type="noConversion"/>
  </si>
  <si>
    <t>Actual done: 2026-02-08</t>
    <phoneticPr fontId="5" type="noConversion"/>
  </si>
  <si>
    <t>Actual done: 2026-02-09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</si>
</sst>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5" activePane="bottomLeft" state="frozen"/>
      <selection pane="bottomLeft" activeCell="J15" sqref="J15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13" t="s">
        <v>154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28</v>
      </c>
      <c r="F11" s="8">
        <v>60</v>
      </c>
      <c r="G11" s="8" t="s">
        <v>17</v>
      </c>
      <c r="H11" s="12">
        <f t="shared" si="1"/>
        <v>46061</v>
      </c>
      <c r="I11" s="8"/>
      <c r="J11" s="13" t="s">
        <v>153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30</v>
      </c>
      <c r="D12" s="8" t="s">
        <v>31</v>
      </c>
      <c r="E12" s="8" t="s">
        <v>32</v>
      </c>
      <c r="F12" s="8">
        <v>75</v>
      </c>
      <c r="G12" s="8" t="s">
        <v>17</v>
      </c>
      <c r="H12" s="12">
        <f t="shared" si="1"/>
        <v>46062</v>
      </c>
      <c r="I12" s="8"/>
      <c r="J12" s="13" t="s">
        <v>155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30</v>
      </c>
      <c r="D13" s="8" t="s">
        <v>33</v>
      </c>
      <c r="E13" s="8" t="s">
        <v>34</v>
      </c>
      <c r="F13" s="8">
        <v>75</v>
      </c>
      <c r="G13" s="8" t="s">
        <v>17</v>
      </c>
      <c r="H13" s="12">
        <f t="shared" si="1"/>
        <v>46063</v>
      </c>
      <c r="I13" s="8"/>
      <c r="J13" s="13" t="s">
        <v>155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30</v>
      </c>
      <c r="D14" s="8"/>
      <c r="E14" s="8" t="s">
        <v>35</v>
      </c>
      <c r="F14" s="8">
        <v>60</v>
      </c>
      <c r="G14" s="8" t="s">
        <v>17</v>
      </c>
      <c r="H14" s="12">
        <f t="shared" si="1"/>
        <v>46064</v>
      </c>
      <c r="I14" s="8"/>
      <c r="J14" s="13" t="s">
        <v>156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30</v>
      </c>
      <c r="D15" s="8"/>
      <c r="E15" s="8" t="s">
        <v>36</v>
      </c>
      <c r="F15" s="8">
        <v>90</v>
      </c>
      <c r="G15" s="8" t="s">
        <v>17</v>
      </c>
      <c r="H15" s="12">
        <f t="shared" si="1"/>
        <v>46065</v>
      </c>
      <c r="I15" s="8"/>
      <c r="J15" s="13" t="s">
        <v>157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30</v>
      </c>
      <c r="D16" s="8"/>
      <c r="E16" s="8" t="s">
        <v>37</v>
      </c>
      <c r="F16" s="8">
        <v>90</v>
      </c>
      <c r="G16" s="8" t="s">
        <v>29</v>
      </c>
      <c r="H16" s="12" t="str">
        <f t="shared" si="1"/>
        <v/>
      </c>
      <c r="I16" s="8"/>
      <c r="J16" s="8"/>
      <c r="K16" s="8"/>
    </row>
    <row r="17" spans="1:11" x14ac:dyDescent="0.15">
      <c r="A17" s="10">
        <v>13</v>
      </c>
      <c r="B17" s="11">
        <f t="shared" si="0"/>
        <v>46065</v>
      </c>
      <c r="C17" s="8" t="s">
        <v>30</v>
      </c>
      <c r="D17" s="8"/>
      <c r="E17" s="8" t="s">
        <v>38</v>
      </c>
      <c r="F17" s="8">
        <v>90</v>
      </c>
      <c r="G17" s="8" t="s">
        <v>29</v>
      </c>
      <c r="H17" s="12" t="str">
        <f t="shared" si="1"/>
        <v/>
      </c>
      <c r="I17" s="8"/>
      <c r="J17" s="8"/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30</v>
      </c>
      <c r="D18" s="8"/>
      <c r="E18" s="8" t="s">
        <v>39</v>
      </c>
      <c r="F18" s="8">
        <v>45</v>
      </c>
      <c r="G18" s="8" t="s">
        <v>29</v>
      </c>
      <c r="H18" s="12" t="str">
        <f t="shared" si="1"/>
        <v/>
      </c>
      <c r="I18" s="8"/>
      <c r="J18" s="8"/>
      <c r="K18" s="8"/>
    </row>
    <row r="19" spans="1:11" x14ac:dyDescent="0.15">
      <c r="A19" s="10">
        <v>15</v>
      </c>
      <c r="B19" s="11">
        <f t="shared" si="0"/>
        <v>46067</v>
      </c>
      <c r="C19" s="8" t="s">
        <v>40</v>
      </c>
      <c r="D19" s="8" t="s">
        <v>41</v>
      </c>
      <c r="E19" s="8" t="s">
        <v>42</v>
      </c>
      <c r="F19" s="8">
        <v>75</v>
      </c>
      <c r="G19" s="8" t="s">
        <v>29</v>
      </c>
      <c r="H19" s="12" t="str">
        <f t="shared" si="1"/>
        <v/>
      </c>
      <c r="I19" s="8"/>
      <c r="J19" s="8"/>
      <c r="K19" s="8"/>
    </row>
    <row r="20" spans="1:11" x14ac:dyDescent="0.15">
      <c r="A20" s="10">
        <v>16</v>
      </c>
      <c r="B20" s="11">
        <f t="shared" si="0"/>
        <v>46068</v>
      </c>
      <c r="C20" s="8" t="s">
        <v>40</v>
      </c>
      <c r="D20" s="8"/>
      <c r="E20" s="8" t="s">
        <v>43</v>
      </c>
      <c r="F20" s="8">
        <v>60</v>
      </c>
      <c r="G20" s="8" t="s">
        <v>29</v>
      </c>
      <c r="H20" s="12" t="str">
        <f t="shared" si="1"/>
        <v/>
      </c>
      <c r="I20" s="8"/>
      <c r="J20" s="8"/>
      <c r="K20" s="8"/>
    </row>
    <row r="21" spans="1:11" x14ac:dyDescent="0.15">
      <c r="A21" s="10">
        <v>17</v>
      </c>
      <c r="B21" s="11">
        <f t="shared" si="0"/>
        <v>46069</v>
      </c>
      <c r="C21" s="8" t="s">
        <v>44</v>
      </c>
      <c r="D21" s="8" t="s">
        <v>45</v>
      </c>
      <c r="E21" s="8" t="s">
        <v>46</v>
      </c>
      <c r="F21" s="8">
        <v>75</v>
      </c>
      <c r="G21" s="8" t="s">
        <v>29</v>
      </c>
      <c r="H21" s="12" t="str">
        <f t="shared" si="1"/>
        <v/>
      </c>
      <c r="I21" s="8"/>
      <c r="J21" s="8"/>
      <c r="K21" s="8"/>
    </row>
    <row r="22" spans="1:11" x14ac:dyDescent="0.15">
      <c r="A22" s="10">
        <v>18</v>
      </c>
      <c r="B22" s="11">
        <f t="shared" si="0"/>
        <v>46070</v>
      </c>
      <c r="C22" s="8" t="s">
        <v>44</v>
      </c>
      <c r="D22" s="8"/>
      <c r="E22" s="8" t="s">
        <v>47</v>
      </c>
      <c r="F22" s="8">
        <v>90</v>
      </c>
      <c r="G22" s="8" t="s">
        <v>29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44</v>
      </c>
      <c r="D23" s="8"/>
      <c r="E23" s="8" t="s">
        <v>48</v>
      </c>
      <c r="F23" s="8">
        <v>90</v>
      </c>
      <c r="G23" s="8" t="s">
        <v>29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44</v>
      </c>
      <c r="D24" s="8"/>
      <c r="E24" s="8" t="s">
        <v>49</v>
      </c>
      <c r="F24" s="8">
        <v>90</v>
      </c>
      <c r="G24" s="8" t="s">
        <v>29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50</v>
      </c>
      <c r="D25" s="8"/>
      <c r="E25" s="8" t="s">
        <v>51</v>
      </c>
      <c r="F25" s="8">
        <v>60</v>
      </c>
      <c r="G25" s="8" t="s">
        <v>29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52</v>
      </c>
      <c r="D26" s="8" t="s">
        <v>53</v>
      </c>
      <c r="E26" s="8" t="s">
        <v>54</v>
      </c>
      <c r="F26" s="8">
        <v>75</v>
      </c>
      <c r="G26" s="8" t="s">
        <v>29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52</v>
      </c>
      <c r="D27" s="8"/>
      <c r="E27" s="8" t="s">
        <v>55</v>
      </c>
      <c r="F27" s="8">
        <v>45</v>
      </c>
      <c r="G27" s="8" t="s">
        <v>29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56</v>
      </c>
      <c r="D28" s="8" t="s">
        <v>57</v>
      </c>
      <c r="E28" s="8" t="s">
        <v>58</v>
      </c>
      <c r="F28" s="8">
        <v>75</v>
      </c>
      <c r="G28" s="8" t="s">
        <v>29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56</v>
      </c>
      <c r="D29" s="8"/>
      <c r="E29" s="8" t="s">
        <v>59</v>
      </c>
      <c r="F29" s="8">
        <v>90</v>
      </c>
      <c r="G29" s="8" t="s">
        <v>29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56</v>
      </c>
      <c r="D30" s="8"/>
      <c r="E30" s="8" t="s">
        <v>60</v>
      </c>
      <c r="F30" s="8">
        <v>90</v>
      </c>
      <c r="G30" s="8" t="s">
        <v>29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61</v>
      </c>
      <c r="D31" s="8"/>
      <c r="E31" s="8" t="s">
        <v>62</v>
      </c>
      <c r="F31" s="8">
        <v>75</v>
      </c>
      <c r="G31" s="8" t="s">
        <v>29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63</v>
      </c>
      <c r="D32" s="8"/>
      <c r="E32" s="8" t="s">
        <v>64</v>
      </c>
      <c r="F32" s="8">
        <v>45</v>
      </c>
      <c r="G32" s="8" t="s">
        <v>29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65</v>
      </c>
      <c r="D33" s="8" t="s">
        <v>66</v>
      </c>
      <c r="E33" s="8" t="s">
        <v>67</v>
      </c>
      <c r="F33" s="8">
        <v>75</v>
      </c>
      <c r="G33" s="8" t="s">
        <v>29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65</v>
      </c>
      <c r="D34" s="8"/>
      <c r="E34" s="8" t="s">
        <v>68</v>
      </c>
      <c r="F34" s="8">
        <v>75</v>
      </c>
      <c r="G34" s="8" t="s">
        <v>29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69</v>
      </c>
      <c r="D35" s="8"/>
      <c r="E35" s="8" t="s">
        <v>70</v>
      </c>
      <c r="F35" s="8">
        <v>60</v>
      </c>
      <c r="G35" s="8" t="s">
        <v>29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61</v>
      </c>
      <c r="D36" s="8"/>
      <c r="E36" s="8" t="s">
        <v>71</v>
      </c>
      <c r="F36" s="8">
        <v>90</v>
      </c>
      <c r="G36" s="8" t="s">
        <v>29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61</v>
      </c>
      <c r="D37" s="8" t="s">
        <v>72</v>
      </c>
      <c r="E37" s="8" t="s">
        <v>73</v>
      </c>
      <c r="F37" s="8">
        <v>90</v>
      </c>
      <c r="G37" s="8" t="s">
        <v>29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61</v>
      </c>
      <c r="D38" s="8" t="s">
        <v>74</v>
      </c>
      <c r="E38" s="8" t="s">
        <v>75</v>
      </c>
      <c r="F38" s="8">
        <v>90</v>
      </c>
      <c r="G38" s="8" t="s">
        <v>29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61</v>
      </c>
      <c r="D39" s="8"/>
      <c r="E39" s="8" t="s">
        <v>76</v>
      </c>
      <c r="F39" s="8">
        <v>60</v>
      </c>
      <c r="G39" s="8" t="s">
        <v>29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61</v>
      </c>
      <c r="D40" s="8"/>
      <c r="E40" s="8" t="s">
        <v>77</v>
      </c>
      <c r="F40" s="8">
        <v>90</v>
      </c>
      <c r="G40" s="8" t="s">
        <v>29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30</v>
      </c>
      <c r="D41" s="8"/>
      <c r="E41" s="8" t="s">
        <v>78</v>
      </c>
      <c r="F41" s="8">
        <v>60</v>
      </c>
      <c r="G41" s="8" t="s">
        <v>29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61</v>
      </c>
      <c r="D42" s="8"/>
      <c r="E42" s="8" t="s">
        <v>79</v>
      </c>
      <c r="F42" s="8">
        <v>75</v>
      </c>
      <c r="G42" s="8" t="s">
        <v>29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30</v>
      </c>
      <c r="D43" s="8"/>
      <c r="E43" s="8" t="s">
        <v>80</v>
      </c>
      <c r="F43" s="8">
        <v>60</v>
      </c>
      <c r="G43" s="8" t="s">
        <v>29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63</v>
      </c>
      <c r="D44" s="8"/>
      <c r="E44" s="8" t="s">
        <v>81</v>
      </c>
      <c r="F44" s="8">
        <v>60</v>
      </c>
      <c r="G44" s="8" t="s">
        <v>29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30</v>
      </c>
      <c r="D45" s="8"/>
      <c r="E45" s="8" t="s">
        <v>82</v>
      </c>
      <c r="F45" s="8">
        <v>60</v>
      </c>
      <c r="G45" s="8" t="s">
        <v>29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83</v>
      </c>
      <c r="D46" s="8"/>
      <c r="E46" s="8" t="s">
        <v>84</v>
      </c>
      <c r="F46" s="8">
        <v>75</v>
      </c>
      <c r="G46" s="8" t="s">
        <v>29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83</v>
      </c>
      <c r="D47" s="8"/>
      <c r="E47" s="8" t="s">
        <v>85</v>
      </c>
      <c r="F47" s="8">
        <v>90</v>
      </c>
      <c r="G47" s="8" t="s">
        <v>29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83</v>
      </c>
      <c r="D48" s="8"/>
      <c r="E48" s="8" t="s">
        <v>86</v>
      </c>
      <c r="F48" s="8">
        <v>90</v>
      </c>
      <c r="G48" s="8" t="s">
        <v>29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63</v>
      </c>
      <c r="D49" s="8"/>
      <c r="E49" s="8" t="s">
        <v>87</v>
      </c>
      <c r="F49" s="8">
        <v>60</v>
      </c>
      <c r="G49" s="8" t="s">
        <v>29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63</v>
      </c>
      <c r="D50" s="8"/>
      <c r="E50" s="8" t="s">
        <v>88</v>
      </c>
      <c r="F50" s="8">
        <v>60</v>
      </c>
      <c r="G50" s="8" t="s">
        <v>29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89</v>
      </c>
      <c r="F51" s="8">
        <v>90</v>
      </c>
      <c r="G51" s="8" t="s">
        <v>29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61</v>
      </c>
      <c r="D52" s="8"/>
      <c r="E52" s="8" t="s">
        <v>90</v>
      </c>
      <c r="F52" s="8">
        <v>60</v>
      </c>
      <c r="G52" s="8" t="s">
        <v>29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61</v>
      </c>
      <c r="D53" s="8"/>
      <c r="E53" s="8" t="s">
        <v>91</v>
      </c>
      <c r="F53" s="8">
        <v>90</v>
      </c>
      <c r="G53" s="8" t="s">
        <v>29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61</v>
      </c>
      <c r="D54" s="8"/>
      <c r="E54" s="8" t="s">
        <v>92</v>
      </c>
      <c r="F54" s="8">
        <v>90</v>
      </c>
      <c r="G54" s="8" t="s">
        <v>29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44</v>
      </c>
      <c r="D55" s="8"/>
      <c r="E55" s="8" t="s">
        <v>93</v>
      </c>
      <c r="F55" s="8">
        <v>60</v>
      </c>
      <c r="G55" s="8" t="s">
        <v>29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83</v>
      </c>
      <c r="D56" s="8"/>
      <c r="E56" s="8" t="s">
        <v>94</v>
      </c>
      <c r="F56" s="8">
        <v>45</v>
      </c>
      <c r="G56" s="8" t="s">
        <v>29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95</v>
      </c>
      <c r="B1" s="15"/>
      <c r="C1" s="15"/>
      <c r="D1" s="15"/>
      <c r="E1" s="15"/>
      <c r="F1" s="15"/>
    </row>
    <row r="2" spans="1:6" x14ac:dyDescent="0.15">
      <c r="A2" s="5" t="s">
        <v>96</v>
      </c>
      <c r="B2" s="6">
        <f>'Daily Plan'!B2</f>
        <v>46053</v>
      </c>
    </row>
    <row r="3" spans="1:6" ht="27" x14ac:dyDescent="0.15">
      <c r="A3" s="7" t="s">
        <v>97</v>
      </c>
      <c r="B3" s="7" t="s">
        <v>98</v>
      </c>
      <c r="C3" s="7" t="s">
        <v>99</v>
      </c>
      <c r="D3" s="7" t="s">
        <v>100</v>
      </c>
      <c r="E3" s="7" t="s">
        <v>101</v>
      </c>
      <c r="F3" s="7" t="s">
        <v>13</v>
      </c>
    </row>
    <row r="4" spans="1:6" x14ac:dyDescent="0.15">
      <c r="A4" s="8">
        <v>1</v>
      </c>
      <c r="B4" s="8" t="s">
        <v>102</v>
      </c>
      <c r="C4" s="8" t="s">
        <v>103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102</v>
      </c>
      <c r="C5" s="8" t="s">
        <v>104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102</v>
      </c>
      <c r="C6" s="8" t="s">
        <v>105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102</v>
      </c>
      <c r="C7" s="8" t="s">
        <v>104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102</v>
      </c>
      <c r="C8" s="8" t="s">
        <v>106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102</v>
      </c>
      <c r="C9" s="8" t="s">
        <v>107</v>
      </c>
      <c r="D9" s="8" t="str">
        <f>IF($B$2="","",TEXT($B$2+6-1,"yyyy-mm-dd")&amp;" – "&amp;TEXT($B$2+16-1,"yyyy-mm-dd"))</f>
        <v>2026-02-05 – 2026-02-15</v>
      </c>
      <c r="E9" s="8" t="s">
        <v>108</v>
      </c>
      <c r="F9" s="8"/>
    </row>
    <row r="10" spans="1:6" x14ac:dyDescent="0.15">
      <c r="A10" s="8">
        <v>7</v>
      </c>
      <c r="B10" s="8" t="s">
        <v>102</v>
      </c>
      <c r="C10" s="8" t="s">
        <v>109</v>
      </c>
      <c r="D10" s="8" t="str">
        <f>IF($B$2="","",TEXT($B$2+9-1,"yyyy-mm-dd"))</f>
        <v>2026-02-08</v>
      </c>
      <c r="E10" s="8" t="s">
        <v>30</v>
      </c>
      <c r="F10" s="8"/>
    </row>
    <row r="11" spans="1:6" x14ac:dyDescent="0.15">
      <c r="A11" s="8">
        <v>8</v>
      </c>
      <c r="B11" s="8" t="s">
        <v>102</v>
      </c>
      <c r="C11" s="8" t="s">
        <v>110</v>
      </c>
      <c r="D11" s="8" t="str">
        <f>IF($B$2="","",TEXT($B$2+10-1,"yyyy-mm-dd"))</f>
        <v>2026-02-09</v>
      </c>
      <c r="E11" s="8" t="s">
        <v>30</v>
      </c>
      <c r="F11" s="8"/>
    </row>
    <row r="12" spans="1:6" x14ac:dyDescent="0.15">
      <c r="A12" s="8">
        <v>9</v>
      </c>
      <c r="B12" s="8" t="s">
        <v>102</v>
      </c>
      <c r="C12" s="8" t="s">
        <v>111</v>
      </c>
      <c r="D12" s="8" t="str">
        <f>IF($B$2="","",TEXT($B$2+48-1,"yyyy-mm-dd"))</f>
        <v>2026-03-19</v>
      </c>
      <c r="E12" s="8" t="s">
        <v>61</v>
      </c>
      <c r="F12" s="8"/>
    </row>
    <row r="13" spans="1:6" x14ac:dyDescent="0.15">
      <c r="A13" s="8">
        <v>10</v>
      </c>
      <c r="B13" s="8" t="s">
        <v>112</v>
      </c>
      <c r="C13" s="8" t="s">
        <v>113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102</v>
      </c>
      <c r="C14" s="8" t="s">
        <v>114</v>
      </c>
      <c r="D14" s="8" t="str">
        <f>IF($B$2="","",TEXT($B$2+31-1,"yyyy-mm-dd"))</f>
        <v>2026-03-02</v>
      </c>
      <c r="E14" s="8" t="s">
        <v>69</v>
      </c>
      <c r="F14" s="8"/>
    </row>
    <row r="15" spans="1:6" ht="27" x14ac:dyDescent="0.15">
      <c r="A15" s="8">
        <v>12</v>
      </c>
      <c r="B15" s="8" t="s">
        <v>112</v>
      </c>
      <c r="C15" s="8" t="s">
        <v>115</v>
      </c>
      <c r="D15" s="8" t="str">
        <f>IF($B$2="","",TEXT($B$2+25-1,"yyyy-mm-dd")&amp;" – "&amp;TEXT($B$2+26-1,"yyyy-mm-dd"))</f>
        <v>2026-02-24 – 2026-02-25</v>
      </c>
      <c r="E15" s="8" t="s">
        <v>56</v>
      </c>
      <c r="F15" s="8"/>
    </row>
    <row r="16" spans="1:6" x14ac:dyDescent="0.15">
      <c r="A16" s="8">
        <v>13</v>
      </c>
      <c r="B16" s="8" t="s">
        <v>112</v>
      </c>
      <c r="C16" s="8" t="s">
        <v>116</v>
      </c>
      <c r="D16" s="8" t="str">
        <f>IF($B$2="","",TEXT($B$2+11-1,"yyyy-mm-dd"))</f>
        <v>2026-02-10</v>
      </c>
      <c r="E16" s="8" t="s">
        <v>30</v>
      </c>
      <c r="F16" s="8"/>
    </row>
    <row r="17" spans="1:6" x14ac:dyDescent="0.15">
      <c r="A17" s="8">
        <v>14</v>
      </c>
      <c r="B17" s="8" t="s">
        <v>102</v>
      </c>
      <c r="C17" s="8" t="s">
        <v>117</v>
      </c>
      <c r="D17" s="8" t="str">
        <f>IF($B$2="","",TEXT($B$2+17-1,"yyyy-mm-dd"))</f>
        <v>2026-02-16</v>
      </c>
      <c r="E17" s="8" t="s">
        <v>44</v>
      </c>
      <c r="F17" s="8"/>
    </row>
    <row r="18" spans="1:6" x14ac:dyDescent="0.15">
      <c r="A18" s="8">
        <v>15</v>
      </c>
      <c r="B18" s="8" t="s">
        <v>102</v>
      </c>
      <c r="C18" s="8" t="s">
        <v>118</v>
      </c>
      <c r="D18" s="8" t="str">
        <f>IF($B$2="","",TEXT($B$2+14-1,"yyyy-mm-dd"))</f>
        <v>2026-02-13</v>
      </c>
      <c r="E18" s="8" t="s">
        <v>30</v>
      </c>
      <c r="F18" s="8"/>
    </row>
    <row r="19" spans="1:6" ht="27" x14ac:dyDescent="0.15">
      <c r="A19" s="8">
        <v>16</v>
      </c>
      <c r="B19" s="8" t="s">
        <v>102</v>
      </c>
      <c r="C19" s="8" t="s">
        <v>119</v>
      </c>
      <c r="D19" s="8" t="str">
        <f>IF($B$2="","",TEXT($B$2+22-1,"yyyy-mm-dd")&amp;" – "&amp;TEXT($B$2+30-1,"yyyy-mm-dd"))</f>
        <v>2026-02-21 – 2026-03-01</v>
      </c>
      <c r="E19" s="8" t="s">
        <v>120</v>
      </c>
      <c r="F19" s="8"/>
    </row>
    <row r="20" spans="1:6" x14ac:dyDescent="0.15">
      <c r="A20" s="8">
        <v>17</v>
      </c>
      <c r="B20" s="8" t="s">
        <v>102</v>
      </c>
      <c r="C20" s="8" t="s">
        <v>121</v>
      </c>
      <c r="D20" s="8" t="str">
        <f>IF($B$2="","",TEXT($B$2+27-1,"yyyy-mm-dd"))</f>
        <v>2026-02-26</v>
      </c>
      <c r="E20" s="8" t="s">
        <v>61</v>
      </c>
      <c r="F20" s="8"/>
    </row>
    <row r="21" spans="1:6" x14ac:dyDescent="0.15">
      <c r="A21" s="8">
        <v>18</v>
      </c>
      <c r="B21" s="8" t="s">
        <v>122</v>
      </c>
      <c r="C21" s="8" t="s">
        <v>123</v>
      </c>
      <c r="D21" s="8" t="str">
        <f>IF($B$2="","",TEXT($B$2+23-1,"yyyy-mm-dd"))</f>
        <v>2026-02-22</v>
      </c>
      <c r="E21" s="8" t="s">
        <v>52</v>
      </c>
      <c r="F21" s="8"/>
    </row>
    <row r="22" spans="1:6" x14ac:dyDescent="0.15">
      <c r="A22" s="8">
        <v>19</v>
      </c>
      <c r="B22" s="8" t="s">
        <v>112</v>
      </c>
      <c r="C22" s="8" t="s">
        <v>124</v>
      </c>
      <c r="D22" s="8" t="str">
        <f>IF($B$2="","",TEXT($B$2+32-1,"yyyy-mm-dd"))</f>
        <v>2026-03-03</v>
      </c>
      <c r="E22" s="8" t="s">
        <v>61</v>
      </c>
      <c r="F22" s="8"/>
    </row>
    <row r="23" spans="1:6" ht="27" x14ac:dyDescent="0.15">
      <c r="A23" s="8">
        <v>20</v>
      </c>
      <c r="B23" s="8" t="s">
        <v>102</v>
      </c>
      <c r="C23" s="8" t="s">
        <v>125</v>
      </c>
      <c r="D23" s="8" t="str">
        <f>IF($B$2="","",TEXT($B$2+18-1,"yyyy-mm-dd")&amp;" – "&amp;TEXT($B$2+20-1,"yyyy-mm-dd"))</f>
        <v>2026-02-17 – 2026-02-19</v>
      </c>
      <c r="E23" s="8" t="s">
        <v>44</v>
      </c>
      <c r="F23" s="8"/>
    </row>
    <row r="24" spans="1:6" x14ac:dyDescent="0.15">
      <c r="A24" s="8">
        <v>21</v>
      </c>
      <c r="B24" s="8" t="s">
        <v>102</v>
      </c>
      <c r="C24" s="8" t="s">
        <v>126</v>
      </c>
      <c r="D24" s="8" t="str">
        <f>IF($B$2="","",TEXT($B$2+21-1,"yyyy-mm-dd"))</f>
        <v>2026-02-20</v>
      </c>
      <c r="E24" s="8" t="s">
        <v>50</v>
      </c>
      <c r="F24" s="8"/>
    </row>
    <row r="25" spans="1:6" ht="27" x14ac:dyDescent="0.15">
      <c r="A25" s="8">
        <v>22</v>
      </c>
      <c r="B25" s="8" t="s">
        <v>102</v>
      </c>
      <c r="C25" s="8" t="s">
        <v>127</v>
      </c>
      <c r="D25" s="8" t="str">
        <f>IF($B$2="","",TEXT($B$2+33-1,"yyyy-mm-dd")&amp;" – "&amp;TEXT($B$2+36-1,"yyyy-mm-dd"))</f>
        <v>2026-03-04 – 2026-03-07</v>
      </c>
      <c r="E25" s="8" t="s">
        <v>61</v>
      </c>
      <c r="F25" s="8"/>
    </row>
    <row r="26" spans="1:6" x14ac:dyDescent="0.15">
      <c r="A26" s="8">
        <v>23</v>
      </c>
      <c r="B26" s="8" t="s">
        <v>102</v>
      </c>
      <c r="C26" s="8" t="s">
        <v>128</v>
      </c>
      <c r="D26" s="8" t="str">
        <f>IF($B$2="","",TEXT($B$2+24-1,"yyyy-mm-dd"))</f>
        <v>2026-02-23</v>
      </c>
      <c r="E26" s="8" t="s">
        <v>56</v>
      </c>
      <c r="F26" s="8"/>
    </row>
    <row r="27" spans="1:6" x14ac:dyDescent="0.15">
      <c r="A27" s="8">
        <v>24</v>
      </c>
      <c r="B27" s="8" t="s">
        <v>102</v>
      </c>
      <c r="C27" s="8" t="s">
        <v>129</v>
      </c>
      <c r="D27" s="8" t="str">
        <f>IF($B$2="","",TEXT($B$2+37-1,"yyyy-mm-dd"))</f>
        <v>2026-03-08</v>
      </c>
      <c r="E27" s="8" t="s">
        <v>30</v>
      </c>
      <c r="F27" s="8"/>
    </row>
    <row r="28" spans="1:6" ht="27" x14ac:dyDescent="0.15">
      <c r="A28" s="8">
        <v>25</v>
      </c>
      <c r="B28" s="8" t="s">
        <v>122</v>
      </c>
      <c r="C28" s="8" t="s">
        <v>130</v>
      </c>
      <c r="D28" s="8" t="str">
        <f>IF($B$2="","",TEXT($B$2+45-1,"yyyy-mm-dd")&amp;" – "&amp;TEXT($B$2+46-1,"yyyy-mm-dd"))</f>
        <v>2026-03-16 – 2026-03-17</v>
      </c>
      <c r="E28" s="8" t="s">
        <v>63</v>
      </c>
      <c r="F28" s="8"/>
    </row>
    <row r="29" spans="1:6" x14ac:dyDescent="0.15">
      <c r="A29" s="8">
        <v>26</v>
      </c>
      <c r="B29" s="8" t="s">
        <v>102</v>
      </c>
      <c r="C29" s="8" t="s">
        <v>131</v>
      </c>
      <c r="D29" s="8" t="str">
        <f>IF($B$2="","",TEXT($B$2+40-1,"yyyy-mm-dd"))</f>
        <v>2026-03-11</v>
      </c>
      <c r="E29" s="8" t="s">
        <v>63</v>
      </c>
      <c r="F29" s="8"/>
    </row>
    <row r="30" spans="1:6" x14ac:dyDescent="0.15">
      <c r="A30" s="8">
        <v>27</v>
      </c>
      <c r="B30" s="8" t="s">
        <v>122</v>
      </c>
      <c r="C30" s="8" t="s">
        <v>132</v>
      </c>
      <c r="D30" s="8" t="str">
        <f>IF($B$2="","",TEXT($B$2+28-1,"yyyy-mm-dd"))</f>
        <v>2026-02-27</v>
      </c>
      <c r="E30" s="8" t="s">
        <v>63</v>
      </c>
      <c r="F30" s="8"/>
    </row>
    <row r="31" spans="1:6" x14ac:dyDescent="0.15">
      <c r="A31" s="8">
        <v>28</v>
      </c>
      <c r="B31" s="8" t="s">
        <v>102</v>
      </c>
      <c r="C31" s="8" t="s">
        <v>133</v>
      </c>
      <c r="D31" s="8" t="str">
        <f>IF($B$2="","",TEXT($B$2+39-1,"yyyy-mm-dd"))</f>
        <v>2026-03-10</v>
      </c>
      <c r="E31" s="8" t="s">
        <v>30</v>
      </c>
      <c r="F31" s="8"/>
    </row>
    <row r="32" spans="1:6" x14ac:dyDescent="0.15">
      <c r="A32" s="8">
        <v>29</v>
      </c>
      <c r="B32" s="8" t="s">
        <v>102</v>
      </c>
      <c r="C32" s="8" t="s">
        <v>134</v>
      </c>
      <c r="D32" s="8" t="str">
        <f>IF($B$2="","",TEXT($B$2+41-1,"yyyy-mm-dd"))</f>
        <v>2026-03-12</v>
      </c>
      <c r="E32" s="8" t="s">
        <v>30</v>
      </c>
      <c r="F32" s="8"/>
    </row>
    <row r="33" spans="1:6" x14ac:dyDescent="0.15">
      <c r="A33" s="8">
        <v>30</v>
      </c>
      <c r="B33" s="8" t="s">
        <v>112</v>
      </c>
      <c r="C33" s="8" t="s">
        <v>135</v>
      </c>
      <c r="D33" s="8" t="str">
        <f>IF($B$2="","",TEXT($B$2+12-1,"yyyy-mm-dd"))</f>
        <v>2026-02-11</v>
      </c>
      <c r="E33" s="8" t="s">
        <v>30</v>
      </c>
      <c r="F33" s="8"/>
    </row>
    <row r="34" spans="1:6" ht="27" x14ac:dyDescent="0.15">
      <c r="A34" s="8">
        <v>31</v>
      </c>
      <c r="B34" s="8" t="s">
        <v>102</v>
      </c>
      <c r="C34" s="8" t="s">
        <v>136</v>
      </c>
      <c r="D34" s="8" t="str">
        <f>IF($B$2="","",TEXT($B$2+43-1,"yyyy-mm-dd")&amp;" – "&amp;TEXT($B$2+44-1,"yyyy-mm-dd"))</f>
        <v>2026-03-14 – 2026-03-15</v>
      </c>
      <c r="E34" s="8" t="s">
        <v>83</v>
      </c>
      <c r="F34" s="8"/>
    </row>
    <row r="35" spans="1:6" x14ac:dyDescent="0.15">
      <c r="A35" s="8">
        <v>32</v>
      </c>
      <c r="B35" s="8" t="s">
        <v>102</v>
      </c>
      <c r="C35" s="8" t="s">
        <v>137</v>
      </c>
      <c r="D35" s="8" t="str">
        <f>IF($B$2="","",TEXT($B$2+42-1,"yyyy-mm-dd"))</f>
        <v>2026-03-13</v>
      </c>
      <c r="E35" s="8" t="s">
        <v>83</v>
      </c>
      <c r="F35" s="8"/>
    </row>
    <row r="36" spans="1:6" x14ac:dyDescent="0.15">
      <c r="A36" s="8">
        <v>33</v>
      </c>
      <c r="B36" s="8" t="s">
        <v>102</v>
      </c>
      <c r="C36" s="8" t="s">
        <v>137</v>
      </c>
      <c r="D36" s="8" t="str">
        <f>IF($B$2="","",TEXT($B$2+42-1,"yyyy-mm-dd"))</f>
        <v>2026-03-13</v>
      </c>
      <c r="E36" s="8" t="s">
        <v>83</v>
      </c>
      <c r="F36" s="8"/>
    </row>
    <row r="37" spans="1:6" x14ac:dyDescent="0.15">
      <c r="A37" s="8">
        <v>34</v>
      </c>
      <c r="B37" s="8" t="s">
        <v>102</v>
      </c>
      <c r="C37" s="8" t="s">
        <v>137</v>
      </c>
      <c r="D37" s="8" t="str">
        <f>IF($B$2="","",TEXT($B$2+42-1,"yyyy-mm-dd"))</f>
        <v>2026-03-13</v>
      </c>
      <c r="E37" s="8" t="s">
        <v>83</v>
      </c>
      <c r="F37" s="8"/>
    </row>
    <row r="38" spans="1:6" x14ac:dyDescent="0.15">
      <c r="A38" s="8">
        <v>35</v>
      </c>
      <c r="B38" s="8" t="s">
        <v>102</v>
      </c>
      <c r="C38" s="8" t="s">
        <v>138</v>
      </c>
      <c r="D38" s="8" t="str">
        <f>IF($B$2="","",TEXT($B$2+38-1,"yyyy-mm-dd"))</f>
        <v>2026-03-09</v>
      </c>
      <c r="E38" s="8" t="s">
        <v>61</v>
      </c>
      <c r="F38" s="8"/>
    </row>
    <row r="39" spans="1:6" x14ac:dyDescent="0.15">
      <c r="A39" s="8">
        <v>36</v>
      </c>
      <c r="B39" s="8" t="s">
        <v>112</v>
      </c>
      <c r="C39" s="8" t="s">
        <v>139</v>
      </c>
      <c r="D39" s="8" t="str">
        <f>IF($B$2="","",TEXT($B$2+13-1,"yyyy-mm-dd"))</f>
        <v>2026-02-12</v>
      </c>
      <c r="E39" s="8" t="s">
        <v>30</v>
      </c>
      <c r="F39" s="8"/>
    </row>
    <row r="40" spans="1:6" x14ac:dyDescent="0.15">
      <c r="A40" s="8">
        <v>37</v>
      </c>
      <c r="B40" s="8" t="s">
        <v>112</v>
      </c>
      <c r="C40" s="8" t="s">
        <v>140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102</v>
      </c>
      <c r="C41" s="8" t="s">
        <v>141</v>
      </c>
      <c r="D41" s="8" t="str">
        <f>IF($B$2="","",TEXT($B$2+8-1,"yyyy-mm-dd"))</f>
        <v>2026-02-07</v>
      </c>
      <c r="E41" s="8" t="s">
        <v>30</v>
      </c>
      <c r="F41" s="8"/>
    </row>
    <row r="42" spans="1:6" ht="27" x14ac:dyDescent="0.15">
      <c r="A42" s="8">
        <v>39</v>
      </c>
      <c r="B42" s="8" t="s">
        <v>102</v>
      </c>
      <c r="C42" s="8" t="s">
        <v>142</v>
      </c>
      <c r="D42" s="8" t="str">
        <f>IF($B$2="","",TEXT($B$2+49-1,"yyyy-mm-dd")&amp;" – "&amp;TEXT($B$2+50-1,"yyyy-mm-dd"))</f>
        <v>2026-03-20 – 2026-03-21</v>
      </c>
      <c r="E42" s="8" t="s">
        <v>61</v>
      </c>
      <c r="F42" s="8"/>
    </row>
    <row r="43" spans="1:6" x14ac:dyDescent="0.15">
      <c r="A43" s="8">
        <v>40</v>
      </c>
      <c r="B43" s="8" t="s">
        <v>102</v>
      </c>
      <c r="C43" s="8" t="s">
        <v>143</v>
      </c>
      <c r="D43" s="8" t="str">
        <f>IF($B$2="","",TEXT($B$2+51-1,"yyyy-mm-dd"))</f>
        <v>2026-03-22</v>
      </c>
      <c r="E43" s="8" t="s">
        <v>44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144</v>
      </c>
    </row>
    <row r="3" spans="1:2" x14ac:dyDescent="0.15">
      <c r="A3" s="2" t="s">
        <v>145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146</v>
      </c>
      <c r="B5" s="4">
        <v>52</v>
      </c>
    </row>
    <row r="6" spans="1:2" x14ac:dyDescent="0.15">
      <c r="A6" s="2" t="s">
        <v>147</v>
      </c>
      <c r="B6" s="4">
        <f>COUNTIF('Daily Plan'!G5:G56,"Done")</f>
        <v>11</v>
      </c>
    </row>
    <row r="7" spans="1:2" x14ac:dyDescent="0.15">
      <c r="A7" s="2" t="s">
        <v>148</v>
      </c>
      <c r="B7" s="4">
        <f>COUNTIF('Daily Plan'!G5:G56,"In Progress")</f>
        <v>0</v>
      </c>
    </row>
    <row r="8" spans="1:2" x14ac:dyDescent="0.15">
      <c r="A8" s="2" t="s">
        <v>149</v>
      </c>
      <c r="B8" s="4">
        <f>COUNTIF('Daily Plan'!G5:G56,"Not Started")</f>
        <v>41</v>
      </c>
    </row>
    <row r="9" spans="1:2" x14ac:dyDescent="0.15">
      <c r="A9" s="4"/>
      <c r="B9" s="4"/>
    </row>
    <row r="10" spans="1:2" x14ac:dyDescent="0.15">
      <c r="A10" s="2" t="s">
        <v>150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151</v>
      </c>
      <c r="B12" s="4">
        <f>COUNTIF('Daily Plan'!H5:H56,"&gt;0")</f>
        <v>11</v>
      </c>
    </row>
    <row r="13" spans="1:2" x14ac:dyDescent="0.15">
      <c r="A13" s="2" t="s">
        <v>152</v>
      </c>
      <c r="B13" s="4">
        <f>COUNTIF('Daily Plan'!I5:I56,"Yes")</f>
        <v>5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2026-02-08T23:12:34Z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